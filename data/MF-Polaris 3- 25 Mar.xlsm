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defaultThemeVersion="166925"/>
  <mc:AlternateContent xmlns:mc="http://schemas.openxmlformats.org/markup-compatibility/2006">
    <mc:Choice Requires="x15">
      <x15ac:absPath xmlns:x15ac="http://schemas.microsoft.com/office/spreadsheetml/2010/11/ac" url="C:\Users\AMOSCOSO\Documents\dev\cash_flow_investment_automatization\data\"/>
    </mc:Choice>
  </mc:AlternateContent>
  <xr:revisionPtr revIDLastSave="0" documentId="13_ncr:1_{68BEFD2B-0F4B-44F5-8CA7-AE1E97220D79}" xr6:coauthVersionLast="47" xr6:coauthVersionMax="47" xr10:uidLastSave="{00000000-0000-0000-0000-000000000000}"/>
  <bookViews>
    <workbookView xWindow="-77" yWindow="-77" windowWidth="16611" windowHeight="9720" tabRatio="804" activeTab="2" xr2:uid="{FF599C59-2F4C-1245-9EBB-3B81E8D27F12}"/>
  </bookViews>
  <sheets>
    <sheet name="FC - BT Proyecto" sheetId="24" r:id="rId1"/>
    <sheet name="Hoja1" sheetId="26" r:id="rId2"/>
    <sheet name="FC - BT Inversionista" sheetId="22" r:id="rId3"/>
    <sheet name="Aportes" sheetId="25" r:id="rId4"/>
    <sheet name="Hoja2" sheetId="27" r:id="rId5"/>
    <sheet name="Mensual (Deuda)" sheetId="23" r:id="rId6"/>
    <sheet name="Amortizaciones" sheetId="10" r:id="rId7"/>
    <sheet name="IPP Histórico" sheetId="8" state="hidden" r:id="rId8"/>
    <sheet name="Inflación Bcol" sheetId="12" state="hidden" r:id="rId9"/>
    <sheet name="Otros" sheetId="11" r:id="rId10"/>
    <sheet name="Presupuesto" sheetId="15" state="hidden" r:id="rId11"/>
  </sheets>
  <externalReferences>
    <externalReference r:id="rId12"/>
    <externalReference r:id="rId13"/>
    <externalReference r:id="rId14"/>
    <externalReference r:id="rId15"/>
    <externalReference r:id="rId16"/>
    <externalReference r:id="rId17"/>
  </externalReferences>
  <definedNames>
    <definedName name="\A">#REF!</definedName>
    <definedName name="\C">[1]Indices!#REF!</definedName>
    <definedName name="\D">#REF!</definedName>
    <definedName name="_F">#REF!</definedName>
    <definedName name="_Fill" hidden="1">#REF!</definedName>
    <definedName name="_IMP1013">#REF!</definedName>
    <definedName name="_imp111">#REF!</definedName>
    <definedName name="_imp1110">#REF!</definedName>
    <definedName name="_IMP1111">#REF!</definedName>
    <definedName name="_IMP1112">#REF!</definedName>
    <definedName name="_IMP1113">#REF!</definedName>
    <definedName name="_IMP1114">#REF!</definedName>
    <definedName name="_IMP1115">#REF!</definedName>
    <definedName name="_IMP1116">#REF!</definedName>
    <definedName name="_imp112">#REF!</definedName>
    <definedName name="_imp113">#REF!</definedName>
    <definedName name="_IMP1132">#REF!</definedName>
    <definedName name="_IMP1133">#REF!</definedName>
    <definedName name="_imp114">#REF!</definedName>
    <definedName name="_IMP115">#REF!</definedName>
    <definedName name="_IMP116">#REF!</definedName>
    <definedName name="_imp117">#REF!</definedName>
    <definedName name="_imp118">#REF!</definedName>
    <definedName name="_imp119">#REF!</definedName>
    <definedName name="_imp84">#REF!</definedName>
    <definedName name="_Key1" hidden="1">#REF!</definedName>
    <definedName name="_Key2" hidden="1">#REF!</definedName>
    <definedName name="_Order1" hidden="1">255</definedName>
    <definedName name="_Order2" hidden="1">255</definedName>
    <definedName name="_R">[1]Indices!#REF!</definedName>
    <definedName name="_RAN1">[1]Indices!#REF!</definedName>
    <definedName name="_Regression_Out" hidden="1">#REF!</definedName>
    <definedName name="_Regression_X" hidden="1">#REF!</definedName>
    <definedName name="_Regression_Y" hidden="1">#REF!</definedName>
    <definedName name="_SOR1">#REF!</definedName>
    <definedName name="_SOR2">#REF!</definedName>
    <definedName name="_Sort" hidden="1">#REF!</definedName>
    <definedName name="_U92016">#REF!</definedName>
    <definedName name="_U92017">#REF!</definedName>
    <definedName name="_U92018">#REF!</definedName>
    <definedName name="A_IMPRESIÓN_IM">#REF!</definedName>
    <definedName name="ABRIL">[2]TASAS!#REF!</definedName>
    <definedName name="AGOSTO">[2]TASAS!#REF!</definedName>
    <definedName name="C_">#REF!</definedName>
    <definedName name="Concepto">#REF!</definedName>
    <definedName name="CONTRIBU">[3]IPM!$A$1:$V$8</definedName>
    <definedName name="CUADRO10">[4]Hoja1!$B$2:$Z$70</definedName>
    <definedName name="CUADRO11">[4]Hoja1!$B$2:$G$42</definedName>
    <definedName name="CUADRO12">[4]Hoja1!$B$2:$S$104</definedName>
    <definedName name="CUADRO13">[4]Hoja1!$B$2:$K$98</definedName>
    <definedName name="CUADRO14">[4]Hoja1!$B$2:$H$67</definedName>
    <definedName name="CUADRO15">[4]Hoja1!$B$2:$H$112</definedName>
    <definedName name="CUADRO16">[4]Hoja1!$B$2:$J$114</definedName>
    <definedName name="CUADRO17">[4]Hoja1!$B$2:$I$108</definedName>
    <definedName name="CUADRO18">[4]Hoja1!$B$2:$H$159</definedName>
    <definedName name="CUADRO19">[4]Hoja1!$B$2:$K$30</definedName>
    <definedName name="CUADRO20">[4]Hoja1!$B$2:$F$113</definedName>
    <definedName name="CUADRO8">[4]Hoja1!$B$2:$E$66</definedName>
    <definedName name="CUADRO9">[4]Hoja1!$B$2:$O$95</definedName>
    <definedName name="cuaII3A">[5]A!$B$3:$J$101</definedName>
    <definedName name="cuaII3B">[5]A!$B$110:$I$208</definedName>
    <definedName name="cuaII3C">[5]A!$B$217:$I$316</definedName>
    <definedName name="cuaII4A">[5]A!$N$3:$T$104</definedName>
    <definedName name="cuaII4B">[5]A!$N$110:$T$211</definedName>
    <definedName name="cuaII4C">[5]A!$N$217:$T$318</definedName>
    <definedName name="cuaII5A">[5]A!$X$3:$AE$103</definedName>
    <definedName name="cuaII5B">[5]A!$X$110:$AD$210</definedName>
    <definedName name="cuaII5C">[5]A!$X$217:$AD$317</definedName>
    <definedName name="D">[1]Indices!#REF!</definedName>
    <definedName name="DIA">[2]TASAS!#REF!</definedName>
    <definedName name="GRAFICOS">#REF!</definedName>
    <definedName name="imp84coc">#REF!</definedName>
    <definedName name="imp84con">#REF!</definedName>
    <definedName name="IMPI1">#REF!</definedName>
    <definedName name="IMPII1A">#REF!</definedName>
    <definedName name="IMPII1B">#REF!</definedName>
    <definedName name="IMPII1C">#REF!</definedName>
    <definedName name="IMPII2A">#REF!</definedName>
    <definedName name="IMPII2B">#REF!</definedName>
    <definedName name="IMPII2C">#REF!</definedName>
    <definedName name="IMPII3A">#REF!</definedName>
    <definedName name="IMPII3B">#REF!</definedName>
    <definedName name="IMPII3C">#REF!</definedName>
    <definedName name="IMPII4A">#REF!</definedName>
    <definedName name="IMPII4B">#REF!</definedName>
    <definedName name="IMPII4C">#REF!</definedName>
    <definedName name="IMPII4D">#REF!</definedName>
    <definedName name="IMPII5A">#REF!</definedName>
    <definedName name="IMPII5B">#REF!</definedName>
    <definedName name="IMPII5C">#REF!</definedName>
    <definedName name="IMPII5D">#REF!</definedName>
    <definedName name="IMPIII1A">#REF!</definedName>
    <definedName name="IMPIII1B">#REF!</definedName>
    <definedName name="IMPIII2A">#REF!</definedName>
    <definedName name="IMPIII2B">#REF!</definedName>
    <definedName name="IMPIV1A">#REF!</definedName>
    <definedName name="IMPIV1B">#REF!</definedName>
    <definedName name="IMPIV1C">#REF!</definedName>
    <definedName name="IMPIV1D">#REF!</definedName>
    <definedName name="IMPIV1E">#REF!</definedName>
    <definedName name="IMPIV2">#REF!</definedName>
    <definedName name="impresion">#REF!</definedName>
    <definedName name="impresion2">'[6]101'!#REF!</definedName>
    <definedName name="IMPV1A">#REF!</definedName>
    <definedName name="IMPV1B">#REF!</definedName>
    <definedName name="Observado">#REF!</definedName>
    <definedName name="peso95015">#REF!</definedName>
    <definedName name="PON">#REF!</definedName>
    <definedName name="_xlnm.Print_Titles" localSheetId="7">'IPP Histórico'!$2:$5</definedName>
    <definedName name="Programado">#REF!</definedName>
    <definedName name="S">#REF!</definedName>
    <definedName name="SOR">#REF!</definedName>
    <definedName name="T">#REF!</definedName>
    <definedName name="TABLA1">#REF!</definedName>
    <definedName name="VAR">#REF!</definedName>
    <definedName name="VARACORR">#REF!</definedName>
    <definedName name="WILLI">#REF!</definedName>
    <definedName name="Z">[1]Indices!#REF!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22" l="1"/>
  <c r="D36" i="22" s="1"/>
  <c r="H63" i="25"/>
  <c r="H62" i="25"/>
  <c r="H61" i="25"/>
  <c r="H60" i="25"/>
  <c r="G63" i="25"/>
  <c r="G62" i="25"/>
  <c r="G61" i="25"/>
  <c r="G60" i="25"/>
  <c r="D61" i="25"/>
  <c r="D62" i="25"/>
  <c r="D63" i="25"/>
  <c r="D60" i="25"/>
  <c r="C63" i="25"/>
  <c r="C62" i="25"/>
  <c r="C61" i="25"/>
  <c r="C60" i="25"/>
  <c r="I73" i="25"/>
  <c r="H73" i="25"/>
  <c r="G73" i="25"/>
  <c r="F73" i="25"/>
  <c r="E73" i="25"/>
  <c r="D73" i="25"/>
  <c r="C52" i="25"/>
  <c r="C51" i="25"/>
  <c r="I55" i="25"/>
  <c r="H55" i="25"/>
  <c r="G55" i="25"/>
  <c r="F55" i="25"/>
  <c r="E55" i="25"/>
  <c r="D55" i="25"/>
  <c r="I38" i="25"/>
  <c r="H38" i="25"/>
  <c r="G38" i="25"/>
  <c r="F38" i="25"/>
  <c r="E38" i="25"/>
  <c r="D38" i="25"/>
  <c r="E23" i="25"/>
  <c r="E20" i="25" s="1"/>
  <c r="F23" i="25"/>
  <c r="F21" i="25" s="1"/>
  <c r="G23" i="25"/>
  <c r="G22" i="25" s="1"/>
  <c r="H23" i="25"/>
  <c r="H20" i="25" s="1"/>
  <c r="I23" i="25"/>
  <c r="I22" i="25" s="1"/>
  <c r="D23" i="25"/>
  <c r="D22" i="25" s="1"/>
  <c r="D45" i="24"/>
  <c r="E42" i="24"/>
  <c r="F39" i="24"/>
  <c r="E39" i="24"/>
  <c r="E45" i="24"/>
  <c r="E72" i="25" l="1"/>
  <c r="D69" i="25"/>
  <c r="D71" i="25"/>
  <c r="I72" i="25"/>
  <c r="D72" i="25"/>
  <c r="H72" i="25"/>
  <c r="H69" i="25"/>
  <c r="D70" i="25"/>
  <c r="E70" i="25"/>
  <c r="H71" i="25"/>
  <c r="H70" i="25"/>
  <c r="I70" i="25"/>
  <c r="F70" i="25"/>
  <c r="F72" i="25"/>
  <c r="G70" i="25"/>
  <c r="G72" i="25"/>
  <c r="G34" i="25"/>
  <c r="E69" i="25"/>
  <c r="E71" i="25"/>
  <c r="F69" i="25"/>
  <c r="F71" i="25"/>
  <c r="G69" i="25"/>
  <c r="G71" i="25"/>
  <c r="I69" i="25"/>
  <c r="I71" i="25"/>
  <c r="F52" i="25"/>
  <c r="E52" i="25"/>
  <c r="D51" i="25"/>
  <c r="D52" i="25"/>
  <c r="D53" i="25"/>
  <c r="D54" i="25"/>
  <c r="E54" i="25"/>
  <c r="F54" i="25"/>
  <c r="G52" i="25"/>
  <c r="G54" i="25"/>
  <c r="H52" i="25"/>
  <c r="H54" i="25"/>
  <c r="I19" i="25"/>
  <c r="I52" i="25"/>
  <c r="I54" i="25"/>
  <c r="G19" i="25"/>
  <c r="E22" i="25"/>
  <c r="E51" i="25"/>
  <c r="E53" i="25"/>
  <c r="F19" i="25"/>
  <c r="F51" i="25"/>
  <c r="F53" i="25"/>
  <c r="F20" i="25"/>
  <c r="G51" i="25"/>
  <c r="G53" i="25"/>
  <c r="F35" i="25"/>
  <c r="H51" i="25"/>
  <c r="H53" i="25"/>
  <c r="F37" i="25"/>
  <c r="I51" i="25"/>
  <c r="I53" i="25"/>
  <c r="D35" i="25"/>
  <c r="D37" i="25"/>
  <c r="H19" i="25"/>
  <c r="F18" i="25"/>
  <c r="E35" i="25"/>
  <c r="E37" i="25"/>
  <c r="D20" i="25"/>
  <c r="F22" i="25"/>
  <c r="I35" i="25"/>
  <c r="I37" i="25"/>
  <c r="D18" i="25"/>
  <c r="H35" i="25"/>
  <c r="G18" i="25"/>
  <c r="D19" i="25"/>
  <c r="D34" i="25"/>
  <c r="D36" i="25"/>
  <c r="H18" i="25"/>
  <c r="D21" i="25"/>
  <c r="E34" i="25"/>
  <c r="E36" i="25"/>
  <c r="H37" i="25"/>
  <c r="H22" i="25"/>
  <c r="E18" i="25"/>
  <c r="F34" i="25"/>
  <c r="F36" i="25"/>
  <c r="G35" i="25"/>
  <c r="I21" i="25"/>
  <c r="E21" i="25"/>
  <c r="G36" i="25"/>
  <c r="H21" i="25"/>
  <c r="E19" i="25"/>
  <c r="H34" i="25"/>
  <c r="H36" i="25"/>
  <c r="G37" i="25"/>
  <c r="G21" i="25"/>
  <c r="I34" i="25"/>
  <c r="I36" i="25"/>
  <c r="I18" i="25"/>
  <c r="I20" i="25"/>
  <c r="G20" i="25"/>
  <c r="AE40" i="24"/>
  <c r="O6" i="24"/>
  <c r="AG40" i="24"/>
  <c r="AF40" i="24"/>
  <c r="AD40" i="24"/>
  <c r="AC40" i="24"/>
  <c r="AB40" i="24"/>
  <c r="AA40" i="24"/>
  <c r="Z40" i="24"/>
  <c r="Y40" i="24"/>
  <c r="X40" i="24"/>
  <c r="W40" i="24"/>
  <c r="V40" i="24"/>
  <c r="U40" i="24"/>
  <c r="T40" i="24"/>
  <c r="S40" i="24"/>
  <c r="R40" i="24"/>
  <c r="Q40" i="24"/>
  <c r="P40" i="24"/>
  <c r="O40" i="24"/>
  <c r="N40" i="24"/>
  <c r="M40" i="24"/>
  <c r="L40" i="24"/>
  <c r="K40" i="24"/>
  <c r="J40" i="24"/>
  <c r="O8" i="24"/>
  <c r="B5" i="10"/>
  <c r="I12" i="25"/>
  <c r="D39" i="24"/>
  <c r="D42" i="24"/>
  <c r="D47" i="24"/>
  <c r="D69" i="24"/>
  <c r="B33" i="10"/>
  <c r="J52" i="25" l="1"/>
  <c r="J36" i="25"/>
  <c r="J34" i="25"/>
  <c r="J37" i="25"/>
  <c r="J35" i="25"/>
  <c r="J54" i="25"/>
  <c r="J53" i="25"/>
  <c r="J51" i="25"/>
  <c r="D41" i="24"/>
  <c r="D48" i="24" s="1"/>
  <c r="D43" i="24"/>
  <c r="J35" i="10"/>
  <c r="D44" i="24" l="1"/>
  <c r="K34" i="10" l="1"/>
  <c r="K35" i="10" l="1"/>
  <c r="K36" i="10" s="1"/>
  <c r="D21" i="24" l="1"/>
  <c r="B4" i="10" s="1"/>
  <c r="G19" i="10" s="1"/>
  <c r="D21" i="22"/>
  <c r="D34" i="22"/>
  <c r="H11" i="25" l="1"/>
  <c r="G11" i="25"/>
  <c r="E11" i="25"/>
  <c r="F11" i="25"/>
  <c r="I11" i="25"/>
  <c r="D11" i="25"/>
  <c r="D47" i="22"/>
  <c r="E47" i="22"/>
  <c r="E48" i="22"/>
  <c r="F47" i="22"/>
  <c r="P11" i="22"/>
  <c r="Q11" i="22"/>
  <c r="R11" i="22"/>
  <c r="S11" i="22"/>
  <c r="T11" i="22"/>
  <c r="P12" i="22"/>
  <c r="Q12" i="22"/>
  <c r="R12" i="22"/>
  <c r="S12" i="22"/>
  <c r="T12" i="22"/>
  <c r="O11" i="22"/>
  <c r="O12" i="22"/>
  <c r="G56" i="22"/>
  <c r="H56" i="22"/>
  <c r="I56" i="22"/>
  <c r="J56" i="22"/>
  <c r="K56" i="22"/>
  <c r="L56" i="22"/>
  <c r="M56" i="22"/>
  <c r="N56" i="22"/>
  <c r="O56" i="22"/>
  <c r="P56" i="22"/>
  <c r="Q56" i="22"/>
  <c r="R56" i="22"/>
  <c r="S56" i="22"/>
  <c r="T56" i="22"/>
  <c r="U56" i="22"/>
  <c r="V56" i="22"/>
  <c r="W56" i="22"/>
  <c r="X56" i="22"/>
  <c r="Y56" i="22"/>
  <c r="Z56" i="22"/>
  <c r="AA56" i="22"/>
  <c r="AB56" i="22"/>
  <c r="AC56" i="22"/>
  <c r="AD56" i="22"/>
  <c r="AE56" i="22"/>
  <c r="AF56" i="22"/>
  <c r="AG56" i="22"/>
  <c r="F57" i="22"/>
  <c r="G57" i="22"/>
  <c r="H57" i="22"/>
  <c r="I57" i="22"/>
  <c r="J57" i="22"/>
  <c r="K57" i="22"/>
  <c r="L57" i="22"/>
  <c r="M57" i="22"/>
  <c r="N57" i="22"/>
  <c r="O57" i="22"/>
  <c r="P57" i="22"/>
  <c r="Q57" i="22"/>
  <c r="R57" i="22"/>
  <c r="S57" i="22"/>
  <c r="T57" i="22"/>
  <c r="U57" i="22"/>
  <c r="V57" i="22"/>
  <c r="W57" i="22"/>
  <c r="X57" i="22"/>
  <c r="Y57" i="22"/>
  <c r="Z57" i="22"/>
  <c r="AA57" i="22"/>
  <c r="AB57" i="22"/>
  <c r="AC57" i="22"/>
  <c r="AD57" i="22"/>
  <c r="AE57" i="22"/>
  <c r="AF57" i="22"/>
  <c r="AG57" i="22"/>
  <c r="E60" i="22"/>
  <c r="F60" i="22"/>
  <c r="G60" i="22"/>
  <c r="H60" i="22"/>
  <c r="I60" i="22"/>
  <c r="J60" i="22"/>
  <c r="K60" i="22"/>
  <c r="L60" i="22"/>
  <c r="N60" i="22"/>
  <c r="O60" i="22"/>
  <c r="P60" i="22"/>
  <c r="Q60" i="22"/>
  <c r="R60" i="22"/>
  <c r="S60" i="22"/>
  <c r="T60" i="22"/>
  <c r="U60" i="22"/>
  <c r="V60" i="22"/>
  <c r="X60" i="22"/>
  <c r="Y60" i="22"/>
  <c r="Z60" i="22"/>
  <c r="AA60" i="22"/>
  <c r="AB60" i="22"/>
  <c r="AC60" i="22"/>
  <c r="AD60" i="22"/>
  <c r="AE60" i="22"/>
  <c r="AF60" i="22"/>
  <c r="AG60" i="22"/>
  <c r="N63" i="22"/>
  <c r="O63" i="22"/>
  <c r="P63" i="22"/>
  <c r="Q63" i="22"/>
  <c r="R63" i="22"/>
  <c r="S63" i="22"/>
  <c r="T63" i="22"/>
  <c r="U63" i="22"/>
  <c r="V63" i="22"/>
  <c r="W63" i="22"/>
  <c r="X63" i="22"/>
  <c r="Y63" i="22"/>
  <c r="Z63" i="22"/>
  <c r="AA63" i="22"/>
  <c r="AB63" i="22"/>
  <c r="AC63" i="22"/>
  <c r="AD63" i="22"/>
  <c r="AE63" i="22"/>
  <c r="AF63" i="22"/>
  <c r="AG63" i="22"/>
  <c r="N64" i="22"/>
  <c r="O64" i="22"/>
  <c r="P64" i="22"/>
  <c r="Q64" i="22"/>
  <c r="R64" i="22"/>
  <c r="R65" i="22" s="1"/>
  <c r="S64" i="22"/>
  <c r="S65" i="22" s="1"/>
  <c r="T64" i="22"/>
  <c r="T65" i="22" s="1"/>
  <c r="U64" i="22"/>
  <c r="U65" i="22" s="1"/>
  <c r="V64" i="22"/>
  <c r="V65" i="22" s="1"/>
  <c r="W64" i="22"/>
  <c r="X64" i="22"/>
  <c r="Y64" i="22"/>
  <c r="Z64" i="22"/>
  <c r="AA64" i="22"/>
  <c r="AB64" i="22"/>
  <c r="AC64" i="22"/>
  <c r="AD64" i="22"/>
  <c r="AD65" i="22" s="1"/>
  <c r="AE64" i="22"/>
  <c r="AE65" i="22" s="1"/>
  <c r="AF64" i="22"/>
  <c r="AF65" i="22" s="1"/>
  <c r="AG64" i="22"/>
  <c r="AG65" i="22" s="1"/>
  <c r="N65" i="22"/>
  <c r="O65" i="22"/>
  <c r="P65" i="22"/>
  <c r="Q65" i="22"/>
  <c r="W65" i="22"/>
  <c r="X65" i="22"/>
  <c r="Y65" i="22"/>
  <c r="Z65" i="22"/>
  <c r="AA65" i="22"/>
  <c r="AB65" i="22"/>
  <c r="AC65" i="22"/>
  <c r="D57" i="22"/>
  <c r="AG81" i="24"/>
  <c r="AF81" i="24"/>
  <c r="AE81" i="24"/>
  <c r="AD81" i="24"/>
  <c r="AC81" i="24"/>
  <c r="AB81" i="24"/>
  <c r="AA81" i="24"/>
  <c r="Z81" i="24"/>
  <c r="Y81" i="24"/>
  <c r="X81" i="24"/>
  <c r="V81" i="24"/>
  <c r="U81" i="24"/>
  <c r="T81" i="24"/>
  <c r="S81" i="24"/>
  <c r="R81" i="24"/>
  <c r="Q81" i="24"/>
  <c r="P81" i="24"/>
  <c r="O81" i="24"/>
  <c r="N81" i="24"/>
  <c r="L81" i="24"/>
  <c r="K81" i="24"/>
  <c r="J81" i="24"/>
  <c r="I81" i="24"/>
  <c r="H81" i="24"/>
  <c r="G81" i="24"/>
  <c r="F81" i="24"/>
  <c r="E81" i="24"/>
  <c r="D81" i="24"/>
  <c r="D76" i="24"/>
  <c r="AG71" i="24"/>
  <c r="Y71" i="24"/>
  <c r="U71" i="24"/>
  <c r="N71" i="24"/>
  <c r="AG70" i="24"/>
  <c r="AF70" i="24"/>
  <c r="AF71" i="24" s="1"/>
  <c r="AE70" i="24"/>
  <c r="AE71" i="24" s="1"/>
  <c r="AD70" i="24"/>
  <c r="AD71" i="24" s="1"/>
  <c r="AC70" i="24"/>
  <c r="AC71" i="24" s="1"/>
  <c r="AB70" i="24"/>
  <c r="AB71" i="24" s="1"/>
  <c r="AA70" i="24"/>
  <c r="AA71" i="24" s="1"/>
  <c r="Z70" i="24"/>
  <c r="Z71" i="24" s="1"/>
  <c r="Y70" i="24"/>
  <c r="X70" i="24"/>
  <c r="X71" i="24" s="1"/>
  <c r="W70" i="24"/>
  <c r="W71" i="24" s="1"/>
  <c r="V70" i="24"/>
  <c r="V71" i="24" s="1"/>
  <c r="U70" i="24"/>
  <c r="T70" i="24"/>
  <c r="T71" i="24" s="1"/>
  <c r="S70" i="24"/>
  <c r="S71" i="24" s="1"/>
  <c r="R70" i="24"/>
  <c r="R71" i="24" s="1"/>
  <c r="Q70" i="24"/>
  <c r="Q71" i="24" s="1"/>
  <c r="P70" i="24"/>
  <c r="P71" i="24" s="1"/>
  <c r="O70" i="24"/>
  <c r="O71" i="24" s="1"/>
  <c r="N70" i="24"/>
  <c r="AG69" i="24"/>
  <c r="AF69" i="24"/>
  <c r="AE69" i="24"/>
  <c r="AD69" i="24"/>
  <c r="AC69" i="24"/>
  <c r="AB69" i="24"/>
  <c r="AA69" i="24"/>
  <c r="Z69" i="24"/>
  <c r="Y69" i="24"/>
  <c r="X69" i="24"/>
  <c r="W69" i="24"/>
  <c r="V69" i="24"/>
  <c r="U69" i="24"/>
  <c r="T69" i="24"/>
  <c r="S69" i="24"/>
  <c r="R69" i="24"/>
  <c r="Q69" i="24"/>
  <c r="P69" i="24"/>
  <c r="O69" i="24"/>
  <c r="N69" i="24"/>
  <c r="C68" i="24"/>
  <c r="AG66" i="24"/>
  <c r="AF66" i="24"/>
  <c r="AE66" i="24"/>
  <c r="AD66" i="24"/>
  <c r="AC66" i="24"/>
  <c r="AB66" i="24"/>
  <c r="AA66" i="24"/>
  <c r="Z66" i="24"/>
  <c r="Y66" i="24"/>
  <c r="X66" i="24"/>
  <c r="V66" i="24"/>
  <c r="U66" i="24"/>
  <c r="T66" i="24"/>
  <c r="S66" i="24"/>
  <c r="R66" i="24"/>
  <c r="Q66" i="24"/>
  <c r="P66" i="24"/>
  <c r="O66" i="24"/>
  <c r="N66" i="24"/>
  <c r="L66" i="24"/>
  <c r="K66" i="24"/>
  <c r="J66" i="24"/>
  <c r="I66" i="24"/>
  <c r="H66" i="24"/>
  <c r="G66" i="24"/>
  <c r="F66" i="24"/>
  <c r="E66" i="24"/>
  <c r="D66" i="24"/>
  <c r="AG52" i="24"/>
  <c r="AF52" i="24"/>
  <c r="AE52" i="24"/>
  <c r="AD52" i="24"/>
  <c r="AC52" i="24"/>
  <c r="AB52" i="24"/>
  <c r="AA52" i="24"/>
  <c r="Z52" i="24"/>
  <c r="Y52" i="24"/>
  <c r="X52" i="24"/>
  <c r="W52" i="24"/>
  <c r="V52" i="24"/>
  <c r="U52" i="24"/>
  <c r="T52" i="24"/>
  <c r="S52" i="24"/>
  <c r="R52" i="24"/>
  <c r="Q52" i="24"/>
  <c r="P52" i="24"/>
  <c r="O52" i="24"/>
  <c r="N52" i="24"/>
  <c r="M52" i="24"/>
  <c r="L52" i="24"/>
  <c r="K52" i="24"/>
  <c r="D25" i="24"/>
  <c r="D15" i="24"/>
  <c r="W29" i="24" s="1"/>
  <c r="D14" i="24"/>
  <c r="D11" i="24"/>
  <c r="L10" i="24"/>
  <c r="O16" i="24"/>
  <c r="H7" i="24"/>
  <c r="D7" i="24"/>
  <c r="L5" i="24" s="1"/>
  <c r="H6" i="24"/>
  <c r="H5" i="24"/>
  <c r="D7" i="25" l="1"/>
  <c r="D6" i="25"/>
  <c r="D8" i="25"/>
  <c r="D10" i="25"/>
  <c r="D9" i="25"/>
  <c r="I10" i="25"/>
  <c r="I6" i="25"/>
  <c r="I8" i="25"/>
  <c r="I9" i="25"/>
  <c r="I7" i="25"/>
  <c r="F6" i="25"/>
  <c r="F8" i="25"/>
  <c r="F10" i="25"/>
  <c r="F9" i="25"/>
  <c r="F7" i="25"/>
  <c r="E8" i="25"/>
  <c r="E9" i="25"/>
  <c r="E6" i="25"/>
  <c r="E10" i="25"/>
  <c r="E7" i="25"/>
  <c r="G10" i="25"/>
  <c r="G8" i="25"/>
  <c r="G7" i="25"/>
  <c r="G9" i="25"/>
  <c r="G6" i="25"/>
  <c r="H7" i="25"/>
  <c r="H8" i="25"/>
  <c r="H9" i="25"/>
  <c r="H10" i="25"/>
  <c r="H6" i="25"/>
  <c r="W81" i="24"/>
  <c r="W66" i="24"/>
  <c r="D10" i="24"/>
  <c r="D16" i="24"/>
  <c r="D46" i="24" s="1"/>
  <c r="D49" i="24" s="1"/>
  <c r="C29" i="24"/>
  <c r="L6" i="24"/>
  <c r="D84" i="24"/>
  <c r="E47" i="24"/>
  <c r="M29" i="24"/>
  <c r="E43" i="24"/>
  <c r="E25" i="24"/>
  <c r="F21" i="23"/>
  <c r="G21" i="23"/>
  <c r="H21" i="23"/>
  <c r="I21" i="23"/>
  <c r="J21" i="23"/>
  <c r="E21" i="23"/>
  <c r="D21" i="23"/>
  <c r="D8" i="22"/>
  <c r="H7" i="22"/>
  <c r="D41" i="22" s="1"/>
  <c r="L15" i="23" s="1"/>
  <c r="Q31" i="8"/>
  <c r="E46" i="24" l="1"/>
  <c r="F46" i="24" s="1"/>
  <c r="G46" i="24" s="1"/>
  <c r="H46" i="24" s="1"/>
  <c r="I46" i="24" s="1"/>
  <c r="J46" i="24" s="1"/>
  <c r="K46" i="24" s="1"/>
  <c r="L46" i="24" s="1"/>
  <c r="M46" i="24" s="1"/>
  <c r="N46" i="24" s="1"/>
  <c r="O46" i="24" s="1"/>
  <c r="P46" i="24" s="1"/>
  <c r="Q46" i="24" s="1"/>
  <c r="R46" i="24" s="1"/>
  <c r="S46" i="24" s="1"/>
  <c r="T46" i="24" s="1"/>
  <c r="U46" i="24" s="1"/>
  <c r="V46" i="24" s="1"/>
  <c r="W46" i="24" s="1"/>
  <c r="X46" i="24" s="1"/>
  <c r="Y46" i="24" s="1"/>
  <c r="Z46" i="24" s="1"/>
  <c r="AA46" i="24" s="1"/>
  <c r="AB46" i="24" s="1"/>
  <c r="AC46" i="24" s="1"/>
  <c r="AD46" i="24" s="1"/>
  <c r="AE46" i="24" s="1"/>
  <c r="AF46" i="24" s="1"/>
  <c r="AG46" i="24" s="1"/>
  <c r="F56" i="22"/>
  <c r="D56" i="22"/>
  <c r="E57" i="22"/>
  <c r="E56" i="22"/>
  <c r="Q15" i="23"/>
  <c r="M15" i="23"/>
  <c r="M81" i="24"/>
  <c r="M66" i="24"/>
  <c r="F42" i="24"/>
  <c r="P8" i="24"/>
  <c r="E84" i="24"/>
  <c r="F47" i="24"/>
  <c r="C81" i="24"/>
  <c r="C85" i="24" s="1"/>
  <c r="C66" i="24"/>
  <c r="C67" i="24" s="1"/>
  <c r="O7" i="24"/>
  <c r="F25" i="24"/>
  <c r="G39" i="24"/>
  <c r="O15" i="23"/>
  <c r="K15" i="23"/>
  <c r="R15" i="23"/>
  <c r="N15" i="23"/>
  <c r="P15" i="23"/>
  <c r="B13" i="10"/>
  <c r="B14" i="10" s="1"/>
  <c r="K44" i="22"/>
  <c r="L44" i="22"/>
  <c r="M44" i="22"/>
  <c r="N44" i="22"/>
  <c r="O44" i="22"/>
  <c r="P44" i="22"/>
  <c r="Q44" i="22"/>
  <c r="R44" i="22"/>
  <c r="S44" i="22"/>
  <c r="T44" i="22"/>
  <c r="U44" i="22"/>
  <c r="V44" i="22"/>
  <c r="W44" i="22"/>
  <c r="X44" i="22"/>
  <c r="Y44" i="22"/>
  <c r="Z44" i="22"/>
  <c r="AA44" i="22"/>
  <c r="AB44" i="22"/>
  <c r="AC44" i="22"/>
  <c r="AD44" i="22"/>
  <c r="AE44" i="22"/>
  <c r="AF44" i="22"/>
  <c r="AG44" i="22"/>
  <c r="O17" i="10"/>
  <c r="P17" i="10" s="1"/>
  <c r="Q17" i="10" s="1"/>
  <c r="R17" i="10" s="1"/>
  <c r="S17" i="10" s="1"/>
  <c r="T17" i="10" s="1"/>
  <c r="U17" i="10" s="1"/>
  <c r="V17" i="10" s="1"/>
  <c r="W17" i="10" s="1"/>
  <c r="X17" i="10" s="1"/>
  <c r="Y17" i="10" s="1"/>
  <c r="Z17" i="10" s="1"/>
  <c r="AA17" i="10" s="1"/>
  <c r="AB17" i="10" s="1"/>
  <c r="AC17" i="10" s="1"/>
  <c r="AD17" i="10" s="1"/>
  <c r="AE17" i="10" s="1"/>
  <c r="AF17" i="10" s="1"/>
  <c r="AG17" i="10" s="1"/>
  <c r="AH17" i="10" s="1"/>
  <c r="AI17" i="10" s="1"/>
  <c r="AJ17" i="10" s="1"/>
  <c r="AK17" i="10" s="1"/>
  <c r="AL17" i="10" s="1"/>
  <c r="AM17" i="10" s="1"/>
  <c r="AN17" i="10" s="1"/>
  <c r="AO17" i="10" s="1"/>
  <c r="AP17" i="10" s="1"/>
  <c r="AQ17" i="10" s="1"/>
  <c r="AR17" i="10" s="1"/>
  <c r="AS17" i="10" s="1"/>
  <c r="AT17" i="10" s="1"/>
  <c r="AU17" i="10" s="1"/>
  <c r="AV17" i="10" s="1"/>
  <c r="AW17" i="10" s="1"/>
  <c r="AX17" i="10" s="1"/>
  <c r="AY17" i="10" s="1"/>
  <c r="AZ17" i="10" s="1"/>
  <c r="BA17" i="10" s="1"/>
  <c r="BB17" i="10" s="1"/>
  <c r="BC17" i="10" s="1"/>
  <c r="BD17" i="10" s="1"/>
  <c r="BE17" i="10" s="1"/>
  <c r="BF17" i="10" s="1"/>
  <c r="BG17" i="10" s="1"/>
  <c r="BH17" i="10" s="1"/>
  <c r="BI17" i="10" s="1"/>
  <c r="BJ17" i="10" s="1"/>
  <c r="BK17" i="10" s="1"/>
  <c r="BL17" i="10" s="1"/>
  <c r="BM17" i="10" s="1"/>
  <c r="BN17" i="10" s="1"/>
  <c r="BO17" i="10" s="1"/>
  <c r="BP17" i="10" s="1"/>
  <c r="BQ17" i="10" s="1"/>
  <c r="BR17" i="10" s="1"/>
  <c r="BS17" i="10" s="1"/>
  <c r="BT17" i="10" s="1"/>
  <c r="BU17" i="10" s="1"/>
  <c r="BV17" i="10" s="1"/>
  <c r="BW17" i="10" s="1"/>
  <c r="BX17" i="10" s="1"/>
  <c r="BY17" i="10" s="1"/>
  <c r="BZ17" i="10" s="1"/>
  <c r="CA17" i="10" s="1"/>
  <c r="CB17" i="10" s="1"/>
  <c r="CC17" i="10" s="1"/>
  <c r="CD17" i="10" s="1"/>
  <c r="CE17" i="10" s="1"/>
  <c r="CF17" i="10" s="1"/>
  <c r="CG17" i="10" s="1"/>
  <c r="CH17" i="10" s="1"/>
  <c r="CI17" i="10" s="1"/>
  <c r="CJ17" i="10" s="1"/>
  <c r="CK17" i="10" s="1"/>
  <c r="CL17" i="10" s="1"/>
  <c r="CM17" i="10" s="1"/>
  <c r="CN17" i="10" s="1"/>
  <c r="CO17" i="10" s="1"/>
  <c r="CP17" i="10" s="1"/>
  <c r="CQ17" i="10" s="1"/>
  <c r="CR17" i="10" s="1"/>
  <c r="CS17" i="10" s="1"/>
  <c r="CT17" i="10" s="1"/>
  <c r="CU17" i="10" s="1"/>
  <c r="CV17" i="10" s="1"/>
  <c r="CW17" i="10" s="1"/>
  <c r="CX17" i="10" s="1"/>
  <c r="CY17" i="10" s="1"/>
  <c r="CZ17" i="10" s="1"/>
  <c r="DA17" i="10" s="1"/>
  <c r="DB17" i="10" s="1"/>
  <c r="DC17" i="10" s="1"/>
  <c r="DD17" i="10" s="1"/>
  <c r="DE17" i="10" s="1"/>
  <c r="DF17" i="10" s="1"/>
  <c r="DG17" i="10" s="1"/>
  <c r="DH17" i="10" s="1"/>
  <c r="DI17" i="10" s="1"/>
  <c r="DJ17" i="10" s="1"/>
  <c r="DK17" i="10" s="1"/>
  <c r="DL17" i="10" s="1"/>
  <c r="DM17" i="10" s="1"/>
  <c r="DN17" i="10" s="1"/>
  <c r="DO17" i="10" s="1"/>
  <c r="DP17" i="10" s="1"/>
  <c r="DQ17" i="10" s="1"/>
  <c r="DR17" i="10" s="1"/>
  <c r="DS17" i="10" s="1"/>
  <c r="DT17" i="10" s="1"/>
  <c r="DU17" i="10" s="1"/>
  <c r="DV17" i="10" s="1"/>
  <c r="DW17" i="10" s="1"/>
  <c r="K33" i="10"/>
  <c r="J33" i="10"/>
  <c r="I33" i="10"/>
  <c r="H33" i="10"/>
  <c r="G33" i="10"/>
  <c r="F33" i="10"/>
  <c r="E33" i="10"/>
  <c r="D33" i="10"/>
  <c r="C33" i="10"/>
  <c r="M64" i="22" l="1"/>
  <c r="M65" i="22" s="1"/>
  <c r="M70" i="24"/>
  <c r="M71" i="24" s="1"/>
  <c r="M63" i="22"/>
  <c r="M69" i="24"/>
  <c r="E41" i="24"/>
  <c r="P6" i="24"/>
  <c r="H39" i="24"/>
  <c r="F84" i="24"/>
  <c r="G47" i="24"/>
  <c r="G25" i="24"/>
  <c r="G43" i="24" s="1"/>
  <c r="F43" i="24"/>
  <c r="Q8" i="24" s="1"/>
  <c r="C72" i="24"/>
  <c r="O9" i="24"/>
  <c r="D82" i="24"/>
  <c r="G42" i="24"/>
  <c r="C13" i="10"/>
  <c r="C14" i="10" s="1"/>
  <c r="E48" i="24" l="1"/>
  <c r="P7" i="24"/>
  <c r="E44" i="24"/>
  <c r="C74" i="24"/>
  <c r="F41" i="24"/>
  <c r="F44" i="24" s="1"/>
  <c r="Q6" i="24"/>
  <c r="H42" i="24"/>
  <c r="R8" i="24"/>
  <c r="H25" i="24"/>
  <c r="H43" i="24" s="1"/>
  <c r="G84" i="24"/>
  <c r="H47" i="24"/>
  <c r="O10" i="24"/>
  <c r="I39" i="24"/>
  <c r="D13" i="10"/>
  <c r="D14" i="10" s="1"/>
  <c r="E49" i="24" l="1"/>
  <c r="P10" i="24" s="1"/>
  <c r="P9" i="24"/>
  <c r="E82" i="24"/>
  <c r="F48" i="24"/>
  <c r="Q7" i="24"/>
  <c r="F45" i="24"/>
  <c r="F82" i="24" s="1"/>
  <c r="G41" i="24"/>
  <c r="G48" i="24" s="1"/>
  <c r="R6" i="24"/>
  <c r="H84" i="24"/>
  <c r="I47" i="24"/>
  <c r="I42" i="24"/>
  <c r="S8" i="24"/>
  <c r="J39" i="24"/>
  <c r="I25" i="24"/>
  <c r="E13" i="10"/>
  <c r="E14" i="10" s="1"/>
  <c r="F49" i="24" l="1"/>
  <c r="Q10" i="24" s="1"/>
  <c r="Q9" i="24"/>
  <c r="R7" i="24"/>
  <c r="G45" i="24"/>
  <c r="R9" i="24" s="1"/>
  <c r="G44" i="24"/>
  <c r="H41" i="24"/>
  <c r="S7" i="24" s="1"/>
  <c r="S6" i="24"/>
  <c r="J25" i="24"/>
  <c r="I43" i="24"/>
  <c r="T8" i="24" s="1"/>
  <c r="K39" i="24"/>
  <c r="J43" i="24"/>
  <c r="J42" i="24"/>
  <c r="I84" i="24"/>
  <c r="J47" i="24"/>
  <c r="F13" i="10"/>
  <c r="F14" i="10" s="1"/>
  <c r="G49" i="24" l="1"/>
  <c r="R10" i="24" s="1"/>
  <c r="H45" i="24"/>
  <c r="H48" i="24"/>
  <c r="H44" i="24"/>
  <c r="G82" i="24"/>
  <c r="I41" i="24"/>
  <c r="I45" i="24" s="1"/>
  <c r="T6" i="24"/>
  <c r="L39" i="24"/>
  <c r="J41" i="24"/>
  <c r="K25" i="24"/>
  <c r="K42" i="24"/>
  <c r="J84" i="24"/>
  <c r="K47" i="24"/>
  <c r="G13" i="10"/>
  <c r="G14" i="10" s="1"/>
  <c r="H49" i="24" l="1"/>
  <c r="S10" i="24" s="1"/>
  <c r="S9" i="24"/>
  <c r="H82" i="24"/>
  <c r="T7" i="24"/>
  <c r="I48" i="24"/>
  <c r="I82" i="24" s="1"/>
  <c r="I44" i="24"/>
  <c r="L25" i="24"/>
  <c r="K41" i="24"/>
  <c r="K43" i="24"/>
  <c r="J48" i="24"/>
  <c r="J44" i="24"/>
  <c r="J45" i="24"/>
  <c r="K84" i="24"/>
  <c r="L47" i="24"/>
  <c r="L42" i="24"/>
  <c r="M39" i="24"/>
  <c r="L43" i="24"/>
  <c r="H13" i="10"/>
  <c r="H14" i="10" s="1"/>
  <c r="I49" i="24" l="1"/>
  <c r="T10" i="24" s="1"/>
  <c r="T9" i="24"/>
  <c r="N39" i="24"/>
  <c r="L41" i="24"/>
  <c r="M25" i="24"/>
  <c r="J82" i="24"/>
  <c r="K48" i="24"/>
  <c r="K44" i="24"/>
  <c r="K45" i="24"/>
  <c r="L84" i="24"/>
  <c r="M47" i="24"/>
  <c r="M42" i="24"/>
  <c r="J49" i="24"/>
  <c r="I13" i="10"/>
  <c r="I14" i="10" s="1"/>
  <c r="K82" i="24" l="1"/>
  <c r="K49" i="24"/>
  <c r="L45" i="24"/>
  <c r="L48" i="24"/>
  <c r="L44" i="24"/>
  <c r="M41" i="24"/>
  <c r="N25" i="24"/>
  <c r="O39" i="24"/>
  <c r="N42" i="24"/>
  <c r="M84" i="24"/>
  <c r="N47" i="24"/>
  <c r="M43" i="24"/>
  <c r="J13" i="10"/>
  <c r="J14" i="10" s="1"/>
  <c r="O42" i="24" l="1"/>
  <c r="N41" i="24"/>
  <c r="O25" i="24"/>
  <c r="N84" i="24"/>
  <c r="O47" i="24"/>
  <c r="P39" i="24"/>
  <c r="O43" i="24"/>
  <c r="L82" i="24"/>
  <c r="K36" i="24"/>
  <c r="N43" i="24"/>
  <c r="M45" i="24"/>
  <c r="M48" i="24"/>
  <c r="M44" i="24"/>
  <c r="L49" i="24"/>
  <c r="K13" i="10"/>
  <c r="K14" i="10" s="1"/>
  <c r="M49" i="24" l="1"/>
  <c r="M36" i="24" s="1"/>
  <c r="O84" i="24"/>
  <c r="P47" i="24"/>
  <c r="P42" i="24"/>
  <c r="N48" i="24"/>
  <c r="N44" i="24"/>
  <c r="N45" i="24"/>
  <c r="L36" i="24"/>
  <c r="M82" i="24"/>
  <c r="Q39" i="24"/>
  <c r="O41" i="24"/>
  <c r="P25" i="24"/>
  <c r="P43" i="24" s="1"/>
  <c r="Q13" i="10"/>
  <c r="Q14" i="10" s="1"/>
  <c r="L13" i="10"/>
  <c r="L14" i="10" s="1"/>
  <c r="N49" i="24" l="1"/>
  <c r="N36" i="24" s="1"/>
  <c r="Q42" i="24"/>
  <c r="R39" i="24"/>
  <c r="Q43" i="24"/>
  <c r="N82" i="24"/>
  <c r="O48" i="24"/>
  <c r="O44" i="24"/>
  <c r="O45" i="24"/>
  <c r="P41" i="24"/>
  <c r="Q25" i="24"/>
  <c r="P84" i="24"/>
  <c r="Q47" i="24"/>
  <c r="R13" i="10"/>
  <c r="R14" i="10" s="1"/>
  <c r="M13" i="10"/>
  <c r="M14" i="10" s="1"/>
  <c r="O82" i="24" l="1"/>
  <c r="P45" i="24"/>
  <c r="P48" i="24"/>
  <c r="P44" i="24"/>
  <c r="Q84" i="24"/>
  <c r="R47" i="24"/>
  <c r="O49" i="24"/>
  <c r="Q41" i="24"/>
  <c r="R25" i="24"/>
  <c r="R42" i="24"/>
  <c r="S39" i="24"/>
  <c r="R43" i="24"/>
  <c r="S13" i="10"/>
  <c r="S14" i="10" s="1"/>
  <c r="N13" i="10"/>
  <c r="N14" i="10" s="1"/>
  <c r="P49" i="24" l="1"/>
  <c r="P36" i="24" s="1"/>
  <c r="S42" i="24"/>
  <c r="Q45" i="24"/>
  <c r="Q48" i="24"/>
  <c r="Q44" i="24"/>
  <c r="T39" i="24"/>
  <c r="S43" i="24"/>
  <c r="O36" i="24"/>
  <c r="R84" i="24"/>
  <c r="S47" i="24"/>
  <c r="R41" i="24"/>
  <c r="S25" i="24"/>
  <c r="P82" i="24"/>
  <c r="T13" i="10"/>
  <c r="T14" i="10" s="1"/>
  <c r="O13" i="10"/>
  <c r="O14" i="10" s="1"/>
  <c r="P13" i="10"/>
  <c r="P14" i="10" s="1"/>
  <c r="S84" i="24" l="1"/>
  <c r="T47" i="24"/>
  <c r="R48" i="24"/>
  <c r="R44" i="24"/>
  <c r="R45" i="24"/>
  <c r="Q82" i="24"/>
  <c r="U39" i="24"/>
  <c r="T42" i="24"/>
  <c r="T25" i="24"/>
  <c r="S41" i="24"/>
  <c r="Q49" i="24"/>
  <c r="U13" i="10"/>
  <c r="U14" i="10" s="1"/>
  <c r="R82" i="24" l="1"/>
  <c r="U42" i="24"/>
  <c r="R49" i="24"/>
  <c r="Q36" i="24"/>
  <c r="T41" i="24"/>
  <c r="U25" i="24"/>
  <c r="T43" i="24"/>
  <c r="V39" i="24"/>
  <c r="U43" i="24"/>
  <c r="S48" i="24"/>
  <c r="S44" i="24"/>
  <c r="S45" i="24"/>
  <c r="T84" i="24"/>
  <c r="U47" i="24"/>
  <c r="V13" i="10"/>
  <c r="V14" i="10" s="1"/>
  <c r="S82" i="24" l="1"/>
  <c r="L63" i="22"/>
  <c r="L69" i="24"/>
  <c r="S49" i="24"/>
  <c r="S36" i="24" s="1"/>
  <c r="V42" i="24"/>
  <c r="U41" i="24"/>
  <c r="V25" i="24"/>
  <c r="W39" i="24"/>
  <c r="R36" i="24"/>
  <c r="U84" i="24"/>
  <c r="V47" i="24"/>
  <c r="T45" i="24"/>
  <c r="T48" i="24"/>
  <c r="T44" i="24"/>
  <c r="W13" i="10"/>
  <c r="W14" i="10" s="1"/>
  <c r="V41" i="24" l="1"/>
  <c r="W25" i="24"/>
  <c r="T82" i="24"/>
  <c r="U45" i="24"/>
  <c r="U44" i="24"/>
  <c r="U48" i="24"/>
  <c r="V84" i="24"/>
  <c r="W47" i="24"/>
  <c r="V43" i="24"/>
  <c r="T49" i="24"/>
  <c r="X39" i="24"/>
  <c r="W43" i="24"/>
  <c r="W42" i="24"/>
  <c r="X13" i="10"/>
  <c r="X14" i="10" s="1"/>
  <c r="U82" i="24" l="1"/>
  <c r="T36" i="24"/>
  <c r="W41" i="24"/>
  <c r="X25" i="24"/>
  <c r="V48" i="24"/>
  <c r="V44" i="24"/>
  <c r="V45" i="24"/>
  <c r="X42" i="24"/>
  <c r="Y39" i="24"/>
  <c r="X43" i="24"/>
  <c r="W84" i="24"/>
  <c r="X47" i="24"/>
  <c r="U49" i="24"/>
  <c r="Y13" i="10"/>
  <c r="Y14" i="10" s="1"/>
  <c r="V82" i="24" l="1"/>
  <c r="U36" i="24"/>
  <c r="Y42" i="24"/>
  <c r="V49" i="24"/>
  <c r="X41" i="24"/>
  <c r="Y25" i="24"/>
  <c r="X84" i="24"/>
  <c r="Y47" i="24"/>
  <c r="W48" i="24"/>
  <c r="W44" i="24"/>
  <c r="W45" i="24"/>
  <c r="Z39" i="24"/>
  <c r="Z13" i="10"/>
  <c r="Z14" i="10" s="1"/>
  <c r="W82" i="24" l="1"/>
  <c r="AA39" i="24"/>
  <c r="Y41" i="24"/>
  <c r="Z25" i="24"/>
  <c r="W49" i="24"/>
  <c r="X45" i="24"/>
  <c r="X48" i="24"/>
  <c r="X44" i="24"/>
  <c r="Z42" i="24"/>
  <c r="Y43" i="24"/>
  <c r="Y84" i="24"/>
  <c r="Z47" i="24"/>
  <c r="V36" i="24"/>
  <c r="AA13" i="10"/>
  <c r="AA14" i="10" s="1"/>
  <c r="E41" i="22"/>
  <c r="D15" i="22"/>
  <c r="M29" i="22" s="1"/>
  <c r="D14" i="22"/>
  <c r="D33" i="22"/>
  <c r="D70" i="22"/>
  <c r="D60" i="22"/>
  <c r="D25" i="22"/>
  <c r="O6" i="22" s="1"/>
  <c r="L10" i="22"/>
  <c r="X49" i="24" l="1"/>
  <c r="X36" i="24" s="1"/>
  <c r="X82" i="24"/>
  <c r="M60" i="22"/>
  <c r="N8" i="23"/>
  <c r="R8" i="23"/>
  <c r="O8" i="23"/>
  <c r="L8" i="23"/>
  <c r="P8" i="23"/>
  <c r="M8" i="23"/>
  <c r="Q8" i="23"/>
  <c r="K8" i="23"/>
  <c r="AA42" i="24"/>
  <c r="Z41" i="24"/>
  <c r="AA25" i="24"/>
  <c r="AB39" i="24"/>
  <c r="AA43" i="24"/>
  <c r="W36" i="24"/>
  <c r="Y45" i="24"/>
  <c r="Y44" i="24"/>
  <c r="Y48" i="24"/>
  <c r="Z84" i="24"/>
  <c r="AA47" i="24"/>
  <c r="Z43" i="24"/>
  <c r="M7" i="23"/>
  <c r="Q7" i="23"/>
  <c r="N7" i="23"/>
  <c r="R7" i="23"/>
  <c r="O7" i="23"/>
  <c r="L7" i="23"/>
  <c r="P7" i="23"/>
  <c r="K7" i="23"/>
  <c r="W15" i="23"/>
  <c r="AA15" i="23"/>
  <c r="S15" i="23"/>
  <c r="T15" i="23"/>
  <c r="X15" i="23"/>
  <c r="AB15" i="23"/>
  <c r="U15" i="23"/>
  <c r="Y15" i="23"/>
  <c r="AC15" i="23"/>
  <c r="V15" i="23"/>
  <c r="AD15" i="23"/>
  <c r="Z15" i="23"/>
  <c r="L10" i="23"/>
  <c r="P10" i="23"/>
  <c r="O10" i="23"/>
  <c r="M10" i="23"/>
  <c r="R10" i="23"/>
  <c r="Q10" i="23"/>
  <c r="N10" i="23"/>
  <c r="K10" i="23"/>
  <c r="AB13" i="10"/>
  <c r="AB14" i="10" s="1"/>
  <c r="E25" i="22"/>
  <c r="E34" i="22" s="1"/>
  <c r="P6" i="22" s="1"/>
  <c r="D35" i="22"/>
  <c r="O16" i="22"/>
  <c r="W29" i="22"/>
  <c r="H6" i="22"/>
  <c r="L6" i="22"/>
  <c r="D10" i="22"/>
  <c r="D7" i="22"/>
  <c r="L5" i="22" s="1"/>
  <c r="H5" i="22"/>
  <c r="E33" i="22" s="1"/>
  <c r="D37" i="22"/>
  <c r="W9" i="22" s="1"/>
  <c r="C29" i="22"/>
  <c r="C60" i="22" s="1"/>
  <c r="F41" i="22"/>
  <c r="E36" i="22"/>
  <c r="Y49" i="24" l="1"/>
  <c r="Y36" i="24" s="1"/>
  <c r="W60" i="22"/>
  <c r="F25" i="22"/>
  <c r="F34" i="22" s="1"/>
  <c r="Q6" i="22" s="1"/>
  <c r="D16" i="22"/>
  <c r="D40" i="22" s="1"/>
  <c r="V8" i="23"/>
  <c r="Z8" i="23"/>
  <c r="AD8" i="23"/>
  <c r="W8" i="23"/>
  <c r="AA8" i="23"/>
  <c r="S8" i="23"/>
  <c r="T8" i="23"/>
  <c r="X8" i="23"/>
  <c r="AB8" i="23"/>
  <c r="U8" i="23"/>
  <c r="Y8" i="23"/>
  <c r="AC8" i="23"/>
  <c r="AB42" i="24"/>
  <c r="AC39" i="24"/>
  <c r="AB43" i="24"/>
  <c r="Z48" i="24"/>
  <c r="Z44" i="24"/>
  <c r="Z45" i="24"/>
  <c r="AA84" i="24"/>
  <c r="AB47" i="24"/>
  <c r="Y82" i="24"/>
  <c r="AB25" i="24"/>
  <c r="AA41" i="24"/>
  <c r="V7" i="23"/>
  <c r="Z7" i="23"/>
  <c r="AD7" i="23"/>
  <c r="W7" i="23"/>
  <c r="AA7" i="23"/>
  <c r="T7" i="23"/>
  <c r="X7" i="23"/>
  <c r="AB7" i="23"/>
  <c r="S7" i="23"/>
  <c r="U7" i="23"/>
  <c r="AC7" i="23"/>
  <c r="Y7" i="23"/>
  <c r="D39" i="22"/>
  <c r="O9" i="23"/>
  <c r="L9" i="23"/>
  <c r="L13" i="23" s="1"/>
  <c r="Q9" i="23"/>
  <c r="K9" i="23"/>
  <c r="N9" i="23"/>
  <c r="M9" i="23"/>
  <c r="P9" i="23"/>
  <c r="P13" i="23" s="1"/>
  <c r="R9" i="23"/>
  <c r="C61" i="22"/>
  <c r="C19" i="23"/>
  <c r="AG15" i="23"/>
  <c r="AK15" i="23"/>
  <c r="AO15" i="23"/>
  <c r="AH15" i="23"/>
  <c r="AL15" i="23"/>
  <c r="AP15" i="23"/>
  <c r="AI15" i="23"/>
  <c r="AM15" i="23"/>
  <c r="AE15" i="23"/>
  <c r="AF15" i="23"/>
  <c r="AN15" i="23"/>
  <c r="AJ15" i="23"/>
  <c r="U10" i="23"/>
  <c r="Y10" i="23"/>
  <c r="AC10" i="23"/>
  <c r="V10" i="23"/>
  <c r="Z10" i="23"/>
  <c r="AD10" i="23"/>
  <c r="W10" i="23"/>
  <c r="AA10" i="23"/>
  <c r="T10" i="23"/>
  <c r="AB10" i="23"/>
  <c r="S10" i="23"/>
  <c r="X10" i="23"/>
  <c r="O8" i="22"/>
  <c r="M11" i="23"/>
  <c r="Q11" i="23"/>
  <c r="N11" i="23"/>
  <c r="K11" i="23"/>
  <c r="O11" i="23"/>
  <c r="P11" i="23"/>
  <c r="L11" i="23"/>
  <c r="L12" i="23" s="1"/>
  <c r="R11" i="23"/>
  <c r="AC13" i="10"/>
  <c r="AC14" i="10" s="1"/>
  <c r="O7" i="22"/>
  <c r="C62" i="22"/>
  <c r="F36" i="22"/>
  <c r="E37" i="22"/>
  <c r="F33" i="22"/>
  <c r="E35" i="22"/>
  <c r="G41" i="22"/>
  <c r="D38" i="22"/>
  <c r="D42" i="22"/>
  <c r="Z82" i="24" l="1"/>
  <c r="G25" i="22"/>
  <c r="G34" i="22" s="1"/>
  <c r="AS8" i="23" s="1"/>
  <c r="P12" i="23"/>
  <c r="O14" i="23"/>
  <c r="N14" i="23"/>
  <c r="K14" i="23"/>
  <c r="E40" i="22"/>
  <c r="F40" i="22" s="1"/>
  <c r="P14" i="23"/>
  <c r="R14" i="23"/>
  <c r="M14" i="23"/>
  <c r="Q14" i="23"/>
  <c r="L14" i="23"/>
  <c r="AQ8" i="23"/>
  <c r="AZ8" i="23"/>
  <c r="AW8" i="23"/>
  <c r="BA8" i="23"/>
  <c r="AT8" i="23"/>
  <c r="AX8" i="23"/>
  <c r="BB8" i="23"/>
  <c r="AH8" i="23"/>
  <c r="AL8" i="23"/>
  <c r="AP8" i="23"/>
  <c r="AI8" i="23"/>
  <c r="AM8" i="23"/>
  <c r="AE8" i="23"/>
  <c r="AF8" i="23"/>
  <c r="AJ8" i="23"/>
  <c r="AN8" i="23"/>
  <c r="AG8" i="23"/>
  <c r="AK8" i="23"/>
  <c r="AO8" i="23"/>
  <c r="AB41" i="24"/>
  <c r="AC25" i="24"/>
  <c r="AB84" i="24"/>
  <c r="AC47" i="24"/>
  <c r="Z49" i="24"/>
  <c r="AD39" i="24"/>
  <c r="AC43" i="24"/>
  <c r="AA48" i="24"/>
  <c r="AA44" i="24"/>
  <c r="AA45" i="24"/>
  <c r="AC42" i="24"/>
  <c r="T9" i="23"/>
  <c r="X9" i="23"/>
  <c r="AB9" i="23"/>
  <c r="AB13" i="23" s="1"/>
  <c r="S9" i="23"/>
  <c r="U9" i="23"/>
  <c r="Y9" i="23"/>
  <c r="AC9" i="23"/>
  <c r="V9" i="23"/>
  <c r="V13" i="23" s="1"/>
  <c r="Z9" i="23"/>
  <c r="Z13" i="23" s="1"/>
  <c r="AD9" i="23"/>
  <c r="AD13" i="23" s="1"/>
  <c r="W9" i="23"/>
  <c r="W13" i="23" s="1"/>
  <c r="AA9" i="23"/>
  <c r="AA13" i="23" s="1"/>
  <c r="F35" i="22"/>
  <c r="Q7" i="22" s="1"/>
  <c r="AG7" i="23"/>
  <c r="AK7" i="23"/>
  <c r="AO7" i="23"/>
  <c r="AH7" i="23"/>
  <c r="AL7" i="23"/>
  <c r="AP7" i="23"/>
  <c r="AJ7" i="23"/>
  <c r="AE7" i="23"/>
  <c r="AM7" i="23"/>
  <c r="AF7" i="23"/>
  <c r="AN7" i="23"/>
  <c r="AI7" i="23"/>
  <c r="Q13" i="23"/>
  <c r="Q12" i="23"/>
  <c r="BB15" i="23"/>
  <c r="AU15" i="23"/>
  <c r="AY15" i="23"/>
  <c r="AR15" i="23"/>
  <c r="AV15" i="23"/>
  <c r="AT15" i="23"/>
  <c r="AZ15" i="23"/>
  <c r="AW15" i="23"/>
  <c r="BA15" i="23"/>
  <c r="AX15" i="23"/>
  <c r="AS15" i="23"/>
  <c r="AQ15" i="23"/>
  <c r="P8" i="22"/>
  <c r="V11" i="23"/>
  <c r="Z11" i="23"/>
  <c r="AD11" i="23"/>
  <c r="W11" i="23"/>
  <c r="AA11" i="23"/>
  <c r="T11" i="23"/>
  <c r="X11" i="23"/>
  <c r="AB11" i="23"/>
  <c r="S11" i="23"/>
  <c r="Y11" i="23"/>
  <c r="AC11" i="23"/>
  <c r="U11" i="23"/>
  <c r="M12" i="23"/>
  <c r="M13" i="23"/>
  <c r="M16" i="23"/>
  <c r="Q16" i="23"/>
  <c r="N16" i="23"/>
  <c r="R16" i="23"/>
  <c r="O16" i="23"/>
  <c r="K16" i="23"/>
  <c r="L16" i="23"/>
  <c r="L17" i="23" s="1"/>
  <c r="P16" i="23"/>
  <c r="AF10" i="23"/>
  <c r="AJ10" i="23"/>
  <c r="AN10" i="23"/>
  <c r="AG10" i="23"/>
  <c r="AH10" i="23"/>
  <c r="AM10" i="23"/>
  <c r="AI10" i="23"/>
  <c r="AO10" i="23"/>
  <c r="AE10" i="23"/>
  <c r="AK10" i="23"/>
  <c r="AP10" i="23"/>
  <c r="AL10" i="23"/>
  <c r="N12" i="23"/>
  <c r="N13" i="23"/>
  <c r="O12" i="23"/>
  <c r="O13" i="23"/>
  <c r="C66" i="22"/>
  <c r="C68" i="22" s="1"/>
  <c r="C20" i="23"/>
  <c r="R12" i="23"/>
  <c r="R13" i="23"/>
  <c r="K13" i="23"/>
  <c r="K12" i="23"/>
  <c r="W8" i="22"/>
  <c r="AD13" i="10"/>
  <c r="AD14" i="10" s="1"/>
  <c r="P7" i="22"/>
  <c r="E39" i="22"/>
  <c r="O9" i="22"/>
  <c r="B21" i="10"/>
  <c r="B23" i="10"/>
  <c r="C19" i="10" s="1"/>
  <c r="E38" i="22"/>
  <c r="E42" i="22"/>
  <c r="D43" i="22"/>
  <c r="F37" i="22"/>
  <c r="G33" i="22"/>
  <c r="H25" i="22"/>
  <c r="H34" i="22" s="1"/>
  <c r="S6" i="22" s="1"/>
  <c r="H41" i="22"/>
  <c r="G36" i="22"/>
  <c r="AY8" i="23" l="1"/>
  <c r="AU8" i="23"/>
  <c r="AV8" i="23"/>
  <c r="AB12" i="23"/>
  <c r="W12" i="23"/>
  <c r="P17" i="23"/>
  <c r="AR8" i="23"/>
  <c r="R6" i="22"/>
  <c r="T14" i="23"/>
  <c r="O10" i="22"/>
  <c r="D53" i="22"/>
  <c r="Z12" i="23"/>
  <c r="AD14" i="23"/>
  <c r="AC14" i="23"/>
  <c r="AD12" i="23"/>
  <c r="BG8" i="23"/>
  <c r="BK8" i="23"/>
  <c r="BC8" i="23"/>
  <c r="BD8" i="23"/>
  <c r="BH8" i="23"/>
  <c r="BL8" i="23"/>
  <c r="BE8" i="23"/>
  <c r="BI8" i="23"/>
  <c r="BM8" i="23"/>
  <c r="BF8" i="23"/>
  <c r="BJ8" i="23"/>
  <c r="BN8" i="23"/>
  <c r="Y14" i="23"/>
  <c r="S14" i="23"/>
  <c r="Z14" i="23"/>
  <c r="AB14" i="23"/>
  <c r="AA14" i="23"/>
  <c r="V14" i="23"/>
  <c r="U14" i="23"/>
  <c r="X14" i="23"/>
  <c r="W14" i="23"/>
  <c r="Z36" i="24"/>
  <c r="AB45" i="24"/>
  <c r="AB48" i="24"/>
  <c r="AB44" i="24"/>
  <c r="AD42" i="24"/>
  <c r="AC84" i="24"/>
  <c r="AD47" i="24"/>
  <c r="AA82" i="24"/>
  <c r="AA49" i="24"/>
  <c r="AE39" i="24"/>
  <c r="AD43" i="24"/>
  <c r="AC41" i="24"/>
  <c r="AD25" i="24"/>
  <c r="K17" i="23"/>
  <c r="M17" i="23"/>
  <c r="BB7" i="23"/>
  <c r="AR7" i="23"/>
  <c r="AV7" i="23"/>
  <c r="AS7" i="23"/>
  <c r="AW7" i="23"/>
  <c r="AY7" i="23"/>
  <c r="AT7" i="23"/>
  <c r="AZ7" i="23"/>
  <c r="AU7" i="23"/>
  <c r="AQ7" i="23"/>
  <c r="AX7" i="23"/>
  <c r="BA7" i="23"/>
  <c r="R17" i="23"/>
  <c r="N17" i="23"/>
  <c r="AA12" i="23"/>
  <c r="AC12" i="23"/>
  <c r="AC13" i="23"/>
  <c r="G40" i="22"/>
  <c r="AF14" i="23"/>
  <c r="AJ14" i="23"/>
  <c r="AN14" i="23"/>
  <c r="AG14" i="23"/>
  <c r="AK14" i="23"/>
  <c r="AO14" i="23"/>
  <c r="AH14" i="23"/>
  <c r="AL14" i="23"/>
  <c r="AP14" i="23"/>
  <c r="AI14" i="23"/>
  <c r="AE14" i="23"/>
  <c r="AM14" i="23"/>
  <c r="Y12" i="23"/>
  <c r="Y13" i="23"/>
  <c r="X12" i="23"/>
  <c r="X13" i="23"/>
  <c r="BE15" i="23"/>
  <c r="BI15" i="23"/>
  <c r="BM15" i="23"/>
  <c r="BF15" i="23"/>
  <c r="BJ15" i="23"/>
  <c r="BN15" i="23"/>
  <c r="BH15" i="23"/>
  <c r="BK15" i="23"/>
  <c r="BC15" i="23"/>
  <c r="BD15" i="23"/>
  <c r="BL15" i="23"/>
  <c r="BG15" i="23"/>
  <c r="S13" i="23"/>
  <c r="S12" i="23"/>
  <c r="AD8" i="22"/>
  <c r="AG11" i="23"/>
  <c r="AH11" i="23"/>
  <c r="AL11" i="23"/>
  <c r="AP11" i="23"/>
  <c r="AE11" i="23"/>
  <c r="AI11" i="23"/>
  <c r="AM11" i="23"/>
  <c r="AJ11" i="23"/>
  <c r="AN11" i="23"/>
  <c r="AF11" i="23"/>
  <c r="AK11" i="23"/>
  <c r="AO11" i="23"/>
  <c r="BA10" i="23"/>
  <c r="AR10" i="23"/>
  <c r="AV10" i="23"/>
  <c r="AQ10" i="23"/>
  <c r="BB10" i="23"/>
  <c r="AS10" i="23"/>
  <c r="AW10" i="23"/>
  <c r="AZ10" i="23"/>
  <c r="AY10" i="23"/>
  <c r="AT10" i="23"/>
  <c r="AU10" i="23"/>
  <c r="AX10" i="23"/>
  <c r="T16" i="23"/>
  <c r="X16" i="23"/>
  <c r="AB16" i="23"/>
  <c r="U16" i="23"/>
  <c r="Y16" i="23"/>
  <c r="AC16" i="23"/>
  <c r="V16" i="23"/>
  <c r="Z16" i="23"/>
  <c r="AD16" i="23"/>
  <c r="AA16" i="23"/>
  <c r="W16" i="23"/>
  <c r="S16" i="23"/>
  <c r="V12" i="23"/>
  <c r="O17" i="23"/>
  <c r="Q17" i="23"/>
  <c r="F39" i="22"/>
  <c r="AI9" i="23"/>
  <c r="AM9" i="23"/>
  <c r="AF9" i="23"/>
  <c r="AJ9" i="23"/>
  <c r="AN9" i="23"/>
  <c r="AK9" i="23"/>
  <c r="AL9" i="23"/>
  <c r="AG9" i="23"/>
  <c r="AG13" i="23" s="1"/>
  <c r="AO9" i="23"/>
  <c r="AE9" i="23"/>
  <c r="AH9" i="23"/>
  <c r="AP9" i="23"/>
  <c r="U12" i="23"/>
  <c r="U13" i="23"/>
  <c r="T12" i="23"/>
  <c r="T13" i="23"/>
  <c r="D22" i="23"/>
  <c r="D24" i="23" s="1"/>
  <c r="D25" i="23" s="1"/>
  <c r="AE13" i="10"/>
  <c r="AE14" i="10" s="1"/>
  <c r="Q8" i="22"/>
  <c r="P9" i="22"/>
  <c r="C23" i="10"/>
  <c r="D19" i="10" s="1"/>
  <c r="C21" i="10"/>
  <c r="B22" i="10"/>
  <c r="E43" i="22"/>
  <c r="I25" i="22"/>
  <c r="I34" i="22" s="1"/>
  <c r="T6" i="22" s="1"/>
  <c r="F42" i="22"/>
  <c r="F38" i="22"/>
  <c r="H36" i="22"/>
  <c r="H33" i="22"/>
  <c r="G35" i="22"/>
  <c r="G37" i="22"/>
  <c r="I41" i="22"/>
  <c r="W17" i="23" l="1"/>
  <c r="P10" i="22"/>
  <c r="E53" i="22"/>
  <c r="Z17" i="23"/>
  <c r="AB17" i="23"/>
  <c r="AD17" i="23"/>
  <c r="BS8" i="23"/>
  <c r="BW8" i="23"/>
  <c r="BO8" i="23"/>
  <c r="BP8" i="23"/>
  <c r="BT8" i="23"/>
  <c r="BX8" i="23"/>
  <c r="BQ8" i="23"/>
  <c r="BU8" i="23"/>
  <c r="BY8" i="23"/>
  <c r="BR8" i="23"/>
  <c r="BV8" i="23"/>
  <c r="BZ8" i="23"/>
  <c r="AC45" i="24"/>
  <c r="AC48" i="24"/>
  <c r="AC44" i="24"/>
  <c r="AD84" i="24"/>
  <c r="AE47" i="24"/>
  <c r="AB49" i="24"/>
  <c r="AA36" i="24"/>
  <c r="AF39" i="24"/>
  <c r="AD41" i="24"/>
  <c r="AE25" i="24"/>
  <c r="AE42" i="24"/>
  <c r="AB82" i="24"/>
  <c r="AA17" i="23"/>
  <c r="X17" i="23"/>
  <c r="T17" i="23"/>
  <c r="AH16" i="23"/>
  <c r="AL16" i="23"/>
  <c r="AP16" i="23"/>
  <c r="AI16" i="23"/>
  <c r="AM16" i="23"/>
  <c r="AE16" i="23"/>
  <c r="AF16" i="23"/>
  <c r="AJ16" i="23"/>
  <c r="AN16" i="23"/>
  <c r="AK16" i="23"/>
  <c r="AO16" i="23"/>
  <c r="AG16" i="23"/>
  <c r="AH13" i="23"/>
  <c r="AH12" i="23"/>
  <c r="BQ15" i="23"/>
  <c r="BU15" i="23"/>
  <c r="BY15" i="23"/>
  <c r="BR15" i="23"/>
  <c r="BV15" i="23"/>
  <c r="BZ15" i="23"/>
  <c r="BT15" i="23"/>
  <c r="BW15" i="23"/>
  <c r="BO15" i="23"/>
  <c r="BP15" i="23"/>
  <c r="BX15" i="23"/>
  <c r="BS15" i="23"/>
  <c r="BG7" i="23"/>
  <c r="BK7" i="23"/>
  <c r="BD7" i="23"/>
  <c r="BH7" i="23"/>
  <c r="BL7" i="23"/>
  <c r="BC7" i="23"/>
  <c r="BJ7" i="23"/>
  <c r="BE7" i="23"/>
  <c r="BM7" i="23"/>
  <c r="BF7" i="23"/>
  <c r="BN7" i="23"/>
  <c r="BI7" i="23"/>
  <c r="AE13" i="23"/>
  <c r="AE12" i="23"/>
  <c r="AK12" i="23"/>
  <c r="AK13" i="23"/>
  <c r="AM13" i="23"/>
  <c r="AM12" i="23"/>
  <c r="AG12" i="23"/>
  <c r="S17" i="23"/>
  <c r="H40" i="22"/>
  <c r="BA14" i="23"/>
  <c r="AU14" i="23"/>
  <c r="AY14" i="23"/>
  <c r="BB14" i="23"/>
  <c r="AR14" i="23"/>
  <c r="AV14" i="23"/>
  <c r="AZ14" i="23"/>
  <c r="AT14" i="23"/>
  <c r="AQ14" i="23"/>
  <c r="AW14" i="23"/>
  <c r="AX14" i="23"/>
  <c r="AS14" i="23"/>
  <c r="AZ9" i="23"/>
  <c r="AR9" i="23"/>
  <c r="AV9" i="23"/>
  <c r="BA9" i="23"/>
  <c r="BA13" i="23" s="1"/>
  <c r="AS9" i="23"/>
  <c r="AW9" i="23"/>
  <c r="AQ9" i="23"/>
  <c r="AY9" i="23"/>
  <c r="AY13" i="23" s="1"/>
  <c r="AT9" i="23"/>
  <c r="AU9" i="23"/>
  <c r="BB9" i="23"/>
  <c r="AX9" i="23"/>
  <c r="AL13" i="23"/>
  <c r="AL12" i="23"/>
  <c r="BF10" i="23"/>
  <c r="BJ10" i="23"/>
  <c r="BN10" i="23"/>
  <c r="BG10" i="23"/>
  <c r="BK10" i="23"/>
  <c r="BE10" i="23"/>
  <c r="BM10" i="23"/>
  <c r="BH10" i="23"/>
  <c r="BI10" i="23"/>
  <c r="BL10" i="23"/>
  <c r="BC10" i="23"/>
  <c r="BD10" i="23"/>
  <c r="U17" i="23"/>
  <c r="AO12" i="23"/>
  <c r="AO13" i="23"/>
  <c r="AN13" i="23"/>
  <c r="AN12" i="23"/>
  <c r="AI13" i="23"/>
  <c r="AI12" i="23"/>
  <c r="Y17" i="23"/>
  <c r="AF13" i="23"/>
  <c r="AF12" i="23"/>
  <c r="R8" i="22"/>
  <c r="BB11" i="23"/>
  <c r="AR11" i="23"/>
  <c r="AV11" i="23"/>
  <c r="AQ11" i="23"/>
  <c r="AS11" i="23"/>
  <c r="AW11" i="23"/>
  <c r="AY11" i="23"/>
  <c r="AY12" i="23" s="1"/>
  <c r="AZ11" i="23"/>
  <c r="AT11" i="23"/>
  <c r="BA11" i="23"/>
  <c r="AU11" i="23"/>
  <c r="AX11" i="23"/>
  <c r="AP13" i="23"/>
  <c r="AP12" i="23"/>
  <c r="AJ13" i="23"/>
  <c r="AJ12" i="23"/>
  <c r="V17" i="23"/>
  <c r="AC17" i="23"/>
  <c r="C22" i="10"/>
  <c r="E22" i="23"/>
  <c r="E24" i="23" s="1"/>
  <c r="E25" i="23" s="1"/>
  <c r="AF13" i="10"/>
  <c r="AF14" i="10" s="1"/>
  <c r="R7" i="22"/>
  <c r="G39" i="22"/>
  <c r="AD7" i="22"/>
  <c r="Q9" i="22"/>
  <c r="D21" i="10"/>
  <c r="D23" i="10"/>
  <c r="E19" i="10" s="1"/>
  <c r="F43" i="22"/>
  <c r="I36" i="22"/>
  <c r="H35" i="22"/>
  <c r="H37" i="22"/>
  <c r="I33" i="22"/>
  <c r="J25" i="22"/>
  <c r="J34" i="22" s="1"/>
  <c r="J41" i="22"/>
  <c r="G38" i="22"/>
  <c r="G42" i="22"/>
  <c r="Q10" i="22" l="1"/>
  <c r="F53" i="22"/>
  <c r="E54" i="22"/>
  <c r="E55" i="22" s="1"/>
  <c r="E58" i="22" s="1"/>
  <c r="E61" i="22" s="1"/>
  <c r="BA12" i="23"/>
  <c r="AF42" i="24"/>
  <c r="AD48" i="24"/>
  <c r="AD44" i="24"/>
  <c r="AD45" i="24"/>
  <c r="AG39" i="24"/>
  <c r="AB36" i="24"/>
  <c r="AC49" i="24"/>
  <c r="AE84" i="24"/>
  <c r="AF47" i="24"/>
  <c r="AE41" i="24"/>
  <c r="AF25" i="24"/>
  <c r="AE43" i="24"/>
  <c r="AC82" i="24"/>
  <c r="AL17" i="23"/>
  <c r="AG17" i="23"/>
  <c r="AK17" i="23"/>
  <c r="AF17" i="23"/>
  <c r="AO17" i="23"/>
  <c r="AW13" i="23"/>
  <c r="AW12" i="23"/>
  <c r="S8" i="22"/>
  <c r="BG11" i="23"/>
  <c r="BK11" i="23"/>
  <c r="BD11" i="23"/>
  <c r="BH11" i="23"/>
  <c r="BL11" i="23"/>
  <c r="BC11" i="23"/>
  <c r="BJ11" i="23"/>
  <c r="BE11" i="23"/>
  <c r="BM11" i="23"/>
  <c r="BF11" i="23"/>
  <c r="BN11" i="23"/>
  <c r="BI11" i="23"/>
  <c r="AJ17" i="23"/>
  <c r="AI17" i="23"/>
  <c r="AT13" i="23"/>
  <c r="AT12" i="23"/>
  <c r="AS13" i="23"/>
  <c r="AS12" i="23"/>
  <c r="AZ13" i="23"/>
  <c r="AZ12" i="23"/>
  <c r="AM17" i="23"/>
  <c r="AE17" i="23"/>
  <c r="AU13" i="23"/>
  <c r="AU12" i="23"/>
  <c r="AX13" i="23"/>
  <c r="AX12" i="23"/>
  <c r="I40" i="22"/>
  <c r="BD14" i="23"/>
  <c r="BH14" i="23"/>
  <c r="BL14" i="23"/>
  <c r="BE14" i="23"/>
  <c r="BI14" i="23"/>
  <c r="BM14" i="23"/>
  <c r="BK14" i="23"/>
  <c r="BF14" i="23"/>
  <c r="BN14" i="23"/>
  <c r="BG14" i="23"/>
  <c r="BC14" i="23"/>
  <c r="BJ14" i="23"/>
  <c r="BQ7" i="23"/>
  <c r="BU7" i="23"/>
  <c r="BY7" i="23"/>
  <c r="BO7" i="23"/>
  <c r="BR7" i="23"/>
  <c r="BV7" i="23"/>
  <c r="BZ7" i="23"/>
  <c r="BS7" i="23"/>
  <c r="BT7" i="23"/>
  <c r="BW7" i="23"/>
  <c r="BP7" i="23"/>
  <c r="BX7" i="23"/>
  <c r="AR12" i="23"/>
  <c r="AR13" i="23"/>
  <c r="BE9" i="23"/>
  <c r="BI9" i="23"/>
  <c r="BM9" i="23"/>
  <c r="BF9" i="23"/>
  <c r="BF13" i="23" s="1"/>
  <c r="BJ9" i="23"/>
  <c r="BJ13" i="23" s="1"/>
  <c r="BN9" i="23"/>
  <c r="BN13" i="23" s="1"/>
  <c r="BH9" i="23"/>
  <c r="BH13" i="23" s="1"/>
  <c r="BC9" i="23"/>
  <c r="BC13" i="23" s="1"/>
  <c r="BK9" i="23"/>
  <c r="BK13" i="23" s="1"/>
  <c r="BD9" i="23"/>
  <c r="BL9" i="23"/>
  <c r="BL13" i="23" s="1"/>
  <c r="BG9" i="23"/>
  <c r="BG13" i="23" s="1"/>
  <c r="AU16" i="23"/>
  <c r="AY16" i="23"/>
  <c r="AY17" i="23" s="1"/>
  <c r="AZ16" i="23"/>
  <c r="AR16" i="23"/>
  <c r="AV16" i="23"/>
  <c r="AQ16" i="23"/>
  <c r="BB16" i="23"/>
  <c r="AT16" i="23"/>
  <c r="AW16" i="23"/>
  <c r="AX16" i="23"/>
  <c r="BA16" i="23"/>
  <c r="AS16" i="23"/>
  <c r="BP10" i="23"/>
  <c r="BT10" i="23"/>
  <c r="BX10" i="23"/>
  <c r="BQ10" i="23"/>
  <c r="BU10" i="23"/>
  <c r="BY10" i="23"/>
  <c r="BO10" i="23"/>
  <c r="BW10" i="23"/>
  <c r="BR10" i="23"/>
  <c r="BZ10" i="23"/>
  <c r="BS10" i="23"/>
  <c r="BV10" i="23"/>
  <c r="AP17" i="23"/>
  <c r="AN17" i="23"/>
  <c r="BB13" i="23"/>
  <c r="BB12" i="23"/>
  <c r="AQ13" i="23"/>
  <c r="AQ12" i="23"/>
  <c r="AV12" i="23"/>
  <c r="AV13" i="23"/>
  <c r="AH17" i="23"/>
  <c r="D22" i="10"/>
  <c r="F22" i="23"/>
  <c r="F24" i="23" s="1"/>
  <c r="F25" i="23" s="1"/>
  <c r="AG13" i="10"/>
  <c r="AG14" i="10" s="1"/>
  <c r="S7" i="22"/>
  <c r="H39" i="22"/>
  <c r="R9" i="22"/>
  <c r="E21" i="10"/>
  <c r="E23" i="10"/>
  <c r="F19" i="10" s="1"/>
  <c r="K41" i="22"/>
  <c r="H38" i="22"/>
  <c r="H42" i="22"/>
  <c r="J36" i="22"/>
  <c r="G43" i="22"/>
  <c r="K25" i="22"/>
  <c r="K34" i="22" s="1"/>
  <c r="I35" i="22"/>
  <c r="I37" i="22"/>
  <c r="T8" i="22" s="1"/>
  <c r="J33" i="22"/>
  <c r="AD82" i="24" l="1"/>
  <c r="AD49" i="24"/>
  <c r="AD36" i="24" s="1"/>
  <c r="P13" i="22"/>
  <c r="BA17" i="23"/>
  <c r="R10" i="22"/>
  <c r="G53" i="22"/>
  <c r="G54" i="22" s="1"/>
  <c r="G55" i="22" s="1"/>
  <c r="G58" i="22" s="1"/>
  <c r="G61" i="22" s="1"/>
  <c r="F54" i="22"/>
  <c r="F55" i="22" s="1"/>
  <c r="F58" i="22" s="1"/>
  <c r="F61" i="22" s="1"/>
  <c r="BF12" i="23"/>
  <c r="AQ17" i="23"/>
  <c r="BH12" i="23"/>
  <c r="AC36" i="24"/>
  <c r="AG43" i="24"/>
  <c r="C87" i="24"/>
  <c r="AF41" i="24"/>
  <c r="AG25" i="24"/>
  <c r="AG41" i="24" s="1"/>
  <c r="AF43" i="24"/>
  <c r="AG42" i="24"/>
  <c r="AE48" i="24"/>
  <c r="AE44" i="24"/>
  <c r="AE45" i="24"/>
  <c r="AF84" i="24"/>
  <c r="AG47" i="24"/>
  <c r="AG84" i="24" s="1"/>
  <c r="AR17" i="23"/>
  <c r="BL12" i="23"/>
  <c r="AS17" i="23"/>
  <c r="BK12" i="23"/>
  <c r="I39" i="22"/>
  <c r="BS9" i="23"/>
  <c r="BW9" i="23"/>
  <c r="T7" i="22"/>
  <c r="BP9" i="23"/>
  <c r="BT9" i="23"/>
  <c r="BX9" i="23"/>
  <c r="BR9" i="23"/>
  <c r="BZ9" i="23"/>
  <c r="BU9" i="23"/>
  <c r="BV9" i="23"/>
  <c r="BO9" i="23"/>
  <c r="BQ9" i="23"/>
  <c r="BQ13" i="23" s="1"/>
  <c r="BY9" i="23"/>
  <c r="BD13" i="23"/>
  <c r="BD12" i="23"/>
  <c r="BI13" i="23"/>
  <c r="BI12" i="23"/>
  <c r="J40" i="22"/>
  <c r="K40" i="22" s="1"/>
  <c r="L40" i="22" s="1"/>
  <c r="M40" i="22" s="1"/>
  <c r="N40" i="22" s="1"/>
  <c r="O40" i="22" s="1"/>
  <c r="P40" i="22" s="1"/>
  <c r="Q40" i="22" s="1"/>
  <c r="R40" i="22" s="1"/>
  <c r="S40" i="22" s="1"/>
  <c r="T40" i="22" s="1"/>
  <c r="U40" i="22" s="1"/>
  <c r="V40" i="22" s="1"/>
  <c r="W40" i="22" s="1"/>
  <c r="X40" i="22" s="1"/>
  <c r="Y40" i="22" s="1"/>
  <c r="Z40" i="22" s="1"/>
  <c r="AA40" i="22" s="1"/>
  <c r="AB40" i="22" s="1"/>
  <c r="AC40" i="22" s="1"/>
  <c r="AD40" i="22" s="1"/>
  <c r="AE40" i="22" s="1"/>
  <c r="AF40" i="22" s="1"/>
  <c r="AG40" i="22" s="1"/>
  <c r="BP14" i="23"/>
  <c r="BT14" i="23"/>
  <c r="BX14" i="23"/>
  <c r="BQ14" i="23"/>
  <c r="BU14" i="23"/>
  <c r="BY14" i="23"/>
  <c r="BW14" i="23"/>
  <c r="BR14" i="23"/>
  <c r="BZ14" i="23"/>
  <c r="BS14" i="23"/>
  <c r="BO14" i="23"/>
  <c r="BV14" i="23"/>
  <c r="AX17" i="23"/>
  <c r="BN12" i="23"/>
  <c r="AW17" i="23"/>
  <c r="BB17" i="23"/>
  <c r="AU17" i="23"/>
  <c r="BC12" i="23"/>
  <c r="BF16" i="23"/>
  <c r="BJ16" i="23"/>
  <c r="BN16" i="23"/>
  <c r="BG16" i="23"/>
  <c r="BK16" i="23"/>
  <c r="BC16" i="23"/>
  <c r="BE16" i="23"/>
  <c r="BM16" i="23"/>
  <c r="BH16" i="23"/>
  <c r="BI16" i="23"/>
  <c r="BD16" i="23"/>
  <c r="BL16" i="23"/>
  <c r="BE13" i="23"/>
  <c r="BE12" i="23"/>
  <c r="BQ11" i="23"/>
  <c r="BU11" i="23"/>
  <c r="BY11" i="23"/>
  <c r="BO11" i="23"/>
  <c r="BR11" i="23"/>
  <c r="BV11" i="23"/>
  <c r="BZ11" i="23"/>
  <c r="BT11" i="23"/>
  <c r="BW11" i="23"/>
  <c r="BP11" i="23"/>
  <c r="BX11" i="23"/>
  <c r="BS11" i="23"/>
  <c r="AV17" i="23"/>
  <c r="BM13" i="23"/>
  <c r="BM12" i="23"/>
  <c r="BJ12" i="23"/>
  <c r="AZ17" i="23"/>
  <c r="AT17" i="23"/>
  <c r="BG12" i="23"/>
  <c r="E22" i="10"/>
  <c r="G22" i="23"/>
  <c r="G24" i="23" s="1"/>
  <c r="G25" i="23" s="1"/>
  <c r="AH13" i="10"/>
  <c r="AH14" i="10" s="1"/>
  <c r="S9" i="22"/>
  <c r="F21" i="10"/>
  <c r="H22" i="23" s="1"/>
  <c r="H24" i="23" s="1"/>
  <c r="F23" i="10"/>
  <c r="L41" i="22"/>
  <c r="J35" i="22"/>
  <c r="J39" i="22" s="1"/>
  <c r="J37" i="22"/>
  <c r="K33" i="22"/>
  <c r="K36" i="22"/>
  <c r="I42" i="22"/>
  <c r="I38" i="22"/>
  <c r="L25" i="22"/>
  <c r="L34" i="22" s="1"/>
  <c r="H43" i="22"/>
  <c r="BG17" i="23" l="1"/>
  <c r="R13" i="22"/>
  <c r="BJ17" i="23"/>
  <c r="BM17" i="23"/>
  <c r="Q13" i="22"/>
  <c r="S10" i="22"/>
  <c r="H53" i="22"/>
  <c r="BF17" i="23"/>
  <c r="BQ12" i="23"/>
  <c r="BH17" i="23"/>
  <c r="BN17" i="23"/>
  <c r="AG45" i="24"/>
  <c r="AG48" i="24"/>
  <c r="AG44" i="24"/>
  <c r="AF45" i="24"/>
  <c r="AF48" i="24"/>
  <c r="AF44" i="24"/>
  <c r="AE82" i="24"/>
  <c r="AE49" i="24"/>
  <c r="BK17" i="23"/>
  <c r="BL17" i="23"/>
  <c r="BE17" i="23"/>
  <c r="BD17" i="23"/>
  <c r="BC17" i="23"/>
  <c r="BO13" i="23"/>
  <c r="BO12" i="23"/>
  <c r="BR13" i="23"/>
  <c r="BR12" i="23"/>
  <c r="BW13" i="23"/>
  <c r="BW12" i="23"/>
  <c r="BI17" i="23"/>
  <c r="BY12" i="23"/>
  <c r="BY13" i="23"/>
  <c r="BU13" i="23"/>
  <c r="BU12" i="23"/>
  <c r="BT13" i="23"/>
  <c r="BT12" i="23"/>
  <c r="BS13" i="23"/>
  <c r="BS12" i="23"/>
  <c r="BV12" i="23"/>
  <c r="BV13" i="23"/>
  <c r="BX13" i="23"/>
  <c r="BX12" i="23"/>
  <c r="BR16" i="23"/>
  <c r="BV16" i="23"/>
  <c r="BZ16" i="23"/>
  <c r="BS16" i="23"/>
  <c r="BW16" i="23"/>
  <c r="BO16" i="23"/>
  <c r="BQ16" i="23"/>
  <c r="BY16" i="23"/>
  <c r="BT16" i="23"/>
  <c r="BU16" i="23"/>
  <c r="BP16" i="23"/>
  <c r="BX16" i="23"/>
  <c r="BZ12" i="23"/>
  <c r="BZ13" i="23"/>
  <c r="BP13" i="23"/>
  <c r="BP12" i="23"/>
  <c r="T9" i="22"/>
  <c r="H25" i="23"/>
  <c r="AI13" i="10"/>
  <c r="AI14" i="10" s="1"/>
  <c r="F22" i="10"/>
  <c r="G21" i="10"/>
  <c r="G23" i="10"/>
  <c r="M25" i="22"/>
  <c r="M34" i="22" s="1"/>
  <c r="L36" i="22"/>
  <c r="J42" i="22"/>
  <c r="J38" i="22"/>
  <c r="M41" i="22"/>
  <c r="I43" i="22"/>
  <c r="K35" i="22"/>
  <c r="K39" i="22" s="1"/>
  <c r="K37" i="22"/>
  <c r="L33" i="22"/>
  <c r="AG82" i="24" l="1"/>
  <c r="I22" i="23"/>
  <c r="I24" i="23" s="1"/>
  <c r="I25" i="23" s="1"/>
  <c r="G22" i="10"/>
  <c r="H19" i="10"/>
  <c r="AF49" i="24"/>
  <c r="AF36" i="24" s="1"/>
  <c r="AF82" i="24"/>
  <c r="T10" i="22"/>
  <c r="I53" i="22"/>
  <c r="H54" i="22"/>
  <c r="H55" i="22" s="1"/>
  <c r="H58" i="22" s="1"/>
  <c r="H61" i="22" s="1"/>
  <c r="BQ17" i="23"/>
  <c r="BZ17" i="23"/>
  <c r="BT17" i="23"/>
  <c r="AG49" i="24"/>
  <c r="AE36" i="24"/>
  <c r="BP17" i="23"/>
  <c r="BW17" i="23"/>
  <c r="BO17" i="23"/>
  <c r="BY17" i="23"/>
  <c r="BR17" i="23"/>
  <c r="BV17" i="23"/>
  <c r="BX17" i="23"/>
  <c r="BS17" i="23"/>
  <c r="BU17" i="23"/>
  <c r="AJ13" i="10"/>
  <c r="AJ14" i="10" s="1"/>
  <c r="J43" i="22"/>
  <c r="K42" i="22"/>
  <c r="K38" i="22"/>
  <c r="M36" i="22"/>
  <c r="L37" i="22"/>
  <c r="L35" i="22"/>
  <c r="L39" i="22" s="1"/>
  <c r="M33" i="22"/>
  <c r="N25" i="22"/>
  <c r="N34" i="22" s="1"/>
  <c r="N41" i="22"/>
  <c r="H23" i="10" l="1"/>
  <c r="I21" i="10" s="1"/>
  <c r="H21" i="10"/>
  <c r="I19" i="10"/>
  <c r="S13" i="22"/>
  <c r="I54" i="22"/>
  <c r="I55" i="22" s="1"/>
  <c r="I58" i="22" s="1"/>
  <c r="I61" i="22" s="1"/>
  <c r="J53" i="22"/>
  <c r="AG36" i="24"/>
  <c r="J22" i="23"/>
  <c r="J24" i="23" s="1"/>
  <c r="J25" i="23" s="1"/>
  <c r="AK13" i="10"/>
  <c r="AK14" i="10" s="1"/>
  <c r="K43" i="22"/>
  <c r="M35" i="22"/>
  <c r="M39" i="22" s="1"/>
  <c r="M37" i="22"/>
  <c r="N33" i="22"/>
  <c r="L42" i="22"/>
  <c r="L38" i="22"/>
  <c r="N36" i="22"/>
  <c r="O41" i="22"/>
  <c r="O25" i="22"/>
  <c r="O34" i="22" s="1"/>
  <c r="H22" i="10" l="1"/>
  <c r="J54" i="22"/>
  <c r="J55" i="22" s="1"/>
  <c r="J58" i="22" s="1"/>
  <c r="J61" i="22" s="1"/>
  <c r="K45" i="22"/>
  <c r="K53" i="22"/>
  <c r="K54" i="22" s="1"/>
  <c r="K55" i="22" s="1"/>
  <c r="K58" i="22" s="1"/>
  <c r="K61" i="22" s="1"/>
  <c r="AL13" i="10"/>
  <c r="AL14" i="10" s="1"/>
  <c r="L43" i="22"/>
  <c r="M38" i="22"/>
  <c r="M42" i="22"/>
  <c r="P41" i="22"/>
  <c r="P25" i="22"/>
  <c r="P34" i="22" s="1"/>
  <c r="O36" i="22"/>
  <c r="N35" i="22"/>
  <c r="N39" i="22" s="1"/>
  <c r="N37" i="22"/>
  <c r="O33" i="22"/>
  <c r="L45" i="22" l="1"/>
  <c r="L53" i="22"/>
  <c r="AM13" i="10"/>
  <c r="AM14" i="10" s="1"/>
  <c r="K22" i="23"/>
  <c r="M43" i="22"/>
  <c r="P33" i="22"/>
  <c r="O37" i="22"/>
  <c r="O35" i="22"/>
  <c r="O39" i="22" s="1"/>
  <c r="N42" i="22"/>
  <c r="N38" i="22"/>
  <c r="P36" i="22"/>
  <c r="Q25" i="22"/>
  <c r="Q34" i="22" s="1"/>
  <c r="Q41" i="22"/>
  <c r="M53" i="22" l="1"/>
  <c r="M45" i="22"/>
  <c r="L54" i="22"/>
  <c r="L55" i="22" s="1"/>
  <c r="L58" i="22" s="1"/>
  <c r="L61" i="22" s="1"/>
  <c r="AN13" i="10"/>
  <c r="AN14" i="10" s="1"/>
  <c r="R25" i="22"/>
  <c r="R34" i="22" s="1"/>
  <c r="Q36" i="22"/>
  <c r="P35" i="22"/>
  <c r="P39" i="22" s="1"/>
  <c r="P37" i="22"/>
  <c r="Q33" i="22"/>
  <c r="R41" i="22"/>
  <c r="O38" i="22"/>
  <c r="O42" i="22"/>
  <c r="N43" i="22"/>
  <c r="N53" i="22" l="1"/>
  <c r="N45" i="22"/>
  <c r="M54" i="22"/>
  <c r="M55" i="22" s="1"/>
  <c r="M58" i="22" s="1"/>
  <c r="M61" i="22" s="1"/>
  <c r="M66" i="22" s="1"/>
  <c r="M67" i="22" s="1"/>
  <c r="AO13" i="10"/>
  <c r="AO14" i="10" s="1"/>
  <c r="O43" i="22"/>
  <c r="S25" i="22"/>
  <c r="S34" i="22" s="1"/>
  <c r="P38" i="22"/>
  <c r="P42" i="22"/>
  <c r="R36" i="22"/>
  <c r="S41" i="22"/>
  <c r="Q37" i="22"/>
  <c r="R33" i="22"/>
  <c r="Q35" i="22"/>
  <c r="Q39" i="22" s="1"/>
  <c r="O45" i="22" l="1"/>
  <c r="O53" i="22"/>
  <c r="O54" i="22" s="1"/>
  <c r="O55" i="22" s="1"/>
  <c r="O58" i="22" s="1"/>
  <c r="O61" i="22" s="1"/>
  <c r="O66" i="22" s="1"/>
  <c r="O67" i="22" s="1"/>
  <c r="N54" i="22"/>
  <c r="N55" i="22" s="1"/>
  <c r="N58" i="22" s="1"/>
  <c r="N61" i="22" s="1"/>
  <c r="N66" i="22" s="1"/>
  <c r="N67" i="22" s="1"/>
  <c r="AP13" i="10"/>
  <c r="AP14" i="10" s="1"/>
  <c r="T41" i="22"/>
  <c r="Q38" i="22"/>
  <c r="Q42" i="22"/>
  <c r="S36" i="22"/>
  <c r="R35" i="22"/>
  <c r="R39" i="22" s="1"/>
  <c r="R37" i="22"/>
  <c r="S33" i="22"/>
  <c r="P43" i="22"/>
  <c r="T25" i="22"/>
  <c r="T34" i="22" s="1"/>
  <c r="P45" i="22" l="1"/>
  <c r="P53" i="22"/>
  <c r="AQ13" i="10"/>
  <c r="AQ14" i="10" s="1"/>
  <c r="S35" i="22"/>
  <c r="S39" i="22" s="1"/>
  <c r="S37" i="22"/>
  <c r="T33" i="22"/>
  <c r="Q43" i="22"/>
  <c r="T36" i="22"/>
  <c r="R38" i="22"/>
  <c r="R42" i="22"/>
  <c r="U25" i="22"/>
  <c r="U34" i="22" s="1"/>
  <c r="U41" i="22"/>
  <c r="Q53" i="22" l="1"/>
  <c r="Q45" i="22"/>
  <c r="P54" i="22"/>
  <c r="P55" i="22" s="1"/>
  <c r="P58" i="22" s="1"/>
  <c r="P61" i="22" s="1"/>
  <c r="P66" i="22" s="1"/>
  <c r="P67" i="22" s="1"/>
  <c r="AR13" i="10"/>
  <c r="AR14" i="10" s="1"/>
  <c r="R43" i="22"/>
  <c r="V25" i="22"/>
  <c r="V34" i="22" s="1"/>
  <c r="T37" i="22"/>
  <c r="T35" i="22"/>
  <c r="T39" i="22" s="1"/>
  <c r="U33" i="22"/>
  <c r="V41" i="22"/>
  <c r="S42" i="22"/>
  <c r="S38" i="22"/>
  <c r="U36" i="22"/>
  <c r="R53" i="22" l="1"/>
  <c r="R45" i="22"/>
  <c r="Q54" i="22"/>
  <c r="Q55" i="22" s="1"/>
  <c r="Q58" i="22" s="1"/>
  <c r="Q61" i="22" s="1"/>
  <c r="Q66" i="22" s="1"/>
  <c r="Q67" i="22" s="1"/>
  <c r="AS13" i="10"/>
  <c r="AS14" i="10" s="1"/>
  <c r="S43" i="22"/>
  <c r="V36" i="22"/>
  <c r="W25" i="22"/>
  <c r="W34" i="22" s="1"/>
  <c r="U35" i="22"/>
  <c r="U39" i="22" s="1"/>
  <c r="V33" i="22"/>
  <c r="U37" i="22"/>
  <c r="T42" i="22"/>
  <c r="T38" i="22"/>
  <c r="W41" i="22"/>
  <c r="S45" i="22" l="1"/>
  <c r="S53" i="22"/>
  <c r="S54" i="22" s="1"/>
  <c r="S55" i="22" s="1"/>
  <c r="S58" i="22" s="1"/>
  <c r="S61" i="22" s="1"/>
  <c r="S66" i="22" s="1"/>
  <c r="S67" i="22" s="1"/>
  <c r="R54" i="22"/>
  <c r="R55" i="22" s="1"/>
  <c r="R58" i="22" s="1"/>
  <c r="R61" i="22" s="1"/>
  <c r="R66" i="22" s="1"/>
  <c r="R67" i="22" s="1"/>
  <c r="AT13" i="10"/>
  <c r="AT14" i="10" s="1"/>
  <c r="T43" i="22"/>
  <c r="U42" i="22"/>
  <c r="U38" i="22"/>
  <c r="X25" i="22"/>
  <c r="X34" i="22" s="1"/>
  <c r="W36" i="22"/>
  <c r="X41" i="22"/>
  <c r="V35" i="22"/>
  <c r="V39" i="22" s="1"/>
  <c r="W33" i="22"/>
  <c r="V37" i="22"/>
  <c r="T45" i="22" l="1"/>
  <c r="T53" i="22"/>
  <c r="AU13" i="10"/>
  <c r="AU14" i="10" s="1"/>
  <c r="Y25" i="22"/>
  <c r="Y34" i="22" s="1"/>
  <c r="X36" i="22"/>
  <c r="V38" i="22"/>
  <c r="V42" i="22"/>
  <c r="X33" i="22"/>
  <c r="W35" i="22"/>
  <c r="W39" i="22" s="1"/>
  <c r="W37" i="22"/>
  <c r="Y41" i="22"/>
  <c r="U43" i="22"/>
  <c r="U53" i="22" l="1"/>
  <c r="U45" i="22"/>
  <c r="T54" i="22"/>
  <c r="T55" i="22" s="1"/>
  <c r="T58" i="22" s="1"/>
  <c r="T61" i="22" s="1"/>
  <c r="T66" i="22" s="1"/>
  <c r="T67" i="22" s="1"/>
  <c r="AV13" i="10"/>
  <c r="AV14" i="10" s="1"/>
  <c r="V43" i="22"/>
  <c r="Z41" i="22"/>
  <c r="W42" i="22"/>
  <c r="W38" i="22"/>
  <c r="Z25" i="22"/>
  <c r="Z34" i="22" s="1"/>
  <c r="X35" i="22"/>
  <c r="X39" i="22" s="1"/>
  <c r="X37" i="22"/>
  <c r="Y33" i="22"/>
  <c r="Y36" i="22"/>
  <c r="V53" i="22" l="1"/>
  <c r="V45" i="22"/>
  <c r="U54" i="22"/>
  <c r="U55" i="22" s="1"/>
  <c r="U58" i="22" s="1"/>
  <c r="U61" i="22" s="1"/>
  <c r="U66" i="22" s="1"/>
  <c r="U67" i="22" s="1"/>
  <c r="AW13" i="10"/>
  <c r="AW14" i="10" s="1"/>
  <c r="AA25" i="22"/>
  <c r="AA34" i="22" s="1"/>
  <c r="AA41" i="22"/>
  <c r="Z36" i="22"/>
  <c r="Y35" i="22"/>
  <c r="Y39" i="22" s="1"/>
  <c r="Y37" i="22"/>
  <c r="Z33" i="22"/>
  <c r="X38" i="22"/>
  <c r="X42" i="22"/>
  <c r="W43" i="22"/>
  <c r="W45" i="22" l="1"/>
  <c r="W53" i="22"/>
  <c r="W54" i="22" s="1"/>
  <c r="W55" i="22" s="1"/>
  <c r="W58" i="22" s="1"/>
  <c r="W61" i="22" s="1"/>
  <c r="W66" i="22" s="1"/>
  <c r="W67" i="22" s="1"/>
  <c r="V54" i="22"/>
  <c r="V55" i="22" s="1"/>
  <c r="V58" i="22" s="1"/>
  <c r="V61" i="22" s="1"/>
  <c r="V66" i="22" s="1"/>
  <c r="V67" i="22" s="1"/>
  <c r="D54" i="22"/>
  <c r="AX13" i="10"/>
  <c r="AX14" i="10" s="1"/>
  <c r="X43" i="22"/>
  <c r="AB25" i="22"/>
  <c r="AB34" i="22" s="1"/>
  <c r="AB41" i="22"/>
  <c r="Z37" i="22"/>
  <c r="AA33" i="22"/>
  <c r="Z35" i="22"/>
  <c r="Z39" i="22" s="1"/>
  <c r="Y38" i="22"/>
  <c r="Y42" i="22"/>
  <c r="AA36" i="22"/>
  <c r="X45" i="22" l="1"/>
  <c r="X53" i="22"/>
  <c r="AY13" i="10"/>
  <c r="AY14" i="10" s="1"/>
  <c r="D55" i="22"/>
  <c r="D58" i="22" s="1"/>
  <c r="AC41" i="22"/>
  <c r="AB36" i="22"/>
  <c r="AC25" i="22"/>
  <c r="AC34" i="22" s="1"/>
  <c r="Y43" i="22"/>
  <c r="Z38" i="22"/>
  <c r="Z42" i="22"/>
  <c r="AA37" i="22"/>
  <c r="AA35" i="22"/>
  <c r="AA39" i="22" s="1"/>
  <c r="AB33" i="22"/>
  <c r="X54" i="22" l="1"/>
  <c r="X55" i="22" s="1"/>
  <c r="X58" i="22" s="1"/>
  <c r="X61" i="22" s="1"/>
  <c r="X66" i="22" s="1"/>
  <c r="X67" i="22" s="1"/>
  <c r="Y53" i="22"/>
  <c r="Y45" i="22"/>
  <c r="AZ13" i="10"/>
  <c r="AZ14" i="10" s="1"/>
  <c r="D61" i="22"/>
  <c r="AD41" i="22"/>
  <c r="AC36" i="22"/>
  <c r="AA38" i="22"/>
  <c r="AA42" i="22"/>
  <c r="AB37" i="22"/>
  <c r="AB35" i="22"/>
  <c r="AB39" i="22" s="1"/>
  <c r="AC33" i="22"/>
  <c r="Z43" i="22"/>
  <c r="AD25" i="22"/>
  <c r="AD34" i="22" s="1"/>
  <c r="W6" i="22" l="1"/>
  <c r="O13" i="22"/>
  <c r="Z53" i="22"/>
  <c r="Z45" i="22"/>
  <c r="Y54" i="22"/>
  <c r="Y55" i="22" s="1"/>
  <c r="Y58" i="22" s="1"/>
  <c r="Y61" i="22" s="1"/>
  <c r="Y66" i="22" s="1"/>
  <c r="Y67" i="22" s="1"/>
  <c r="BA13" i="10"/>
  <c r="BA14" i="10" s="1"/>
  <c r="C56" i="22"/>
  <c r="AC35" i="22"/>
  <c r="AC39" i="22" s="1"/>
  <c r="AD33" i="22"/>
  <c r="AC37" i="22"/>
  <c r="AE41" i="22"/>
  <c r="AE25" i="22"/>
  <c r="AE34" i="22" s="1"/>
  <c r="AA43" i="22"/>
  <c r="AB38" i="22"/>
  <c r="AB42" i="22"/>
  <c r="AD36" i="22"/>
  <c r="AA45" i="22" l="1"/>
  <c r="AA53" i="22"/>
  <c r="AA54" i="22" s="1"/>
  <c r="AA55" i="22" s="1"/>
  <c r="AA58" i="22" s="1"/>
  <c r="AA61" i="22" s="1"/>
  <c r="AA66" i="22" s="1"/>
  <c r="AA67" i="22" s="1"/>
  <c r="Z54" i="22"/>
  <c r="Z55" i="22" s="1"/>
  <c r="Z58" i="22" s="1"/>
  <c r="Z61" i="22" s="1"/>
  <c r="Z66" i="22" s="1"/>
  <c r="Z67" i="22" s="1"/>
  <c r="BB13" i="10"/>
  <c r="BB14" i="10" s="1"/>
  <c r="AB43" i="22"/>
  <c r="AD35" i="22"/>
  <c r="AD39" i="22" s="1"/>
  <c r="AE33" i="22"/>
  <c r="AD37" i="22"/>
  <c r="AC42" i="22"/>
  <c r="AC38" i="22"/>
  <c r="AF25" i="22"/>
  <c r="AF34" i="22" s="1"/>
  <c r="AE36" i="22"/>
  <c r="AF41" i="22"/>
  <c r="AB45" i="22" l="1"/>
  <c r="AB53" i="22"/>
  <c r="BC13" i="10"/>
  <c r="BC14" i="10" s="1"/>
  <c r="AD38" i="22"/>
  <c r="AD42" i="22"/>
  <c r="AC43" i="22"/>
  <c r="AE35" i="22"/>
  <c r="AE39" i="22" s="1"/>
  <c r="AF33" i="22"/>
  <c r="AE37" i="22"/>
  <c r="AG41" i="22"/>
  <c r="AG25" i="22"/>
  <c r="AG34" i="22" s="1"/>
  <c r="AF36" i="22"/>
  <c r="AC53" i="22" l="1"/>
  <c r="AC45" i="22"/>
  <c r="AB54" i="22"/>
  <c r="AB55" i="22" s="1"/>
  <c r="AB58" i="22" s="1"/>
  <c r="AB61" i="22" s="1"/>
  <c r="AB66" i="22" s="1"/>
  <c r="AB67" i="22" s="1"/>
  <c r="BD13" i="10"/>
  <c r="BD14" i="10" s="1"/>
  <c r="AE42" i="22"/>
  <c r="AE38" i="22"/>
  <c r="AD43" i="22"/>
  <c r="AF35" i="22"/>
  <c r="AF39" i="22" s="1"/>
  <c r="AG33" i="22"/>
  <c r="AF37" i="22"/>
  <c r="AG36" i="22"/>
  <c r="AC54" i="22" l="1"/>
  <c r="AC55" i="22" s="1"/>
  <c r="AC58" i="22" s="1"/>
  <c r="AC61" i="22" s="1"/>
  <c r="AC66" i="22" s="1"/>
  <c r="AC67" i="22" s="1"/>
  <c r="AD53" i="22"/>
  <c r="AD45" i="22"/>
  <c r="BE13" i="10"/>
  <c r="BE14" i="10" s="1"/>
  <c r="AE43" i="22"/>
  <c r="AF42" i="22"/>
  <c r="AF38" i="22"/>
  <c r="AG35" i="22"/>
  <c r="AG39" i="22" s="1"/>
  <c r="AG37" i="22"/>
  <c r="AE45" i="22" l="1"/>
  <c r="AE53" i="22"/>
  <c r="AE54" i="22" s="1"/>
  <c r="AE55" i="22" s="1"/>
  <c r="AE58" i="22" s="1"/>
  <c r="AE61" i="22" s="1"/>
  <c r="AE66" i="22" s="1"/>
  <c r="AE67" i="22" s="1"/>
  <c r="AD54" i="22"/>
  <c r="AD55" i="22" s="1"/>
  <c r="AD58" i="22" s="1"/>
  <c r="AD61" i="22" s="1"/>
  <c r="AD66" i="22" s="1"/>
  <c r="AD67" i="22" s="1"/>
  <c r="BF13" i="10"/>
  <c r="BF14" i="10" s="1"/>
  <c r="AG42" i="22"/>
  <c r="AG38" i="22"/>
  <c r="AF43" i="22"/>
  <c r="AF45" i="22" l="1"/>
  <c r="AF53" i="22"/>
  <c r="BG13" i="10"/>
  <c r="BG14" i="10" s="1"/>
  <c r="AG43" i="22"/>
  <c r="AF54" i="22" l="1"/>
  <c r="AF55" i="22" s="1"/>
  <c r="AF58" i="22" s="1"/>
  <c r="AF61" i="22" s="1"/>
  <c r="AF66" i="22" s="1"/>
  <c r="AF67" i="22" s="1"/>
  <c r="AG53" i="22"/>
  <c r="AG45" i="22"/>
  <c r="BH13" i="10"/>
  <c r="BH14" i="10" s="1"/>
  <c r="AG54" i="22" l="1"/>
  <c r="AG55" i="22" s="1"/>
  <c r="AG58" i="22" s="1"/>
  <c r="AG61" i="22" s="1"/>
  <c r="AG66" i="22" s="1"/>
  <c r="AG67" i="22" s="1"/>
  <c r="BI13" i="10"/>
  <c r="BI14" i="10" s="1"/>
  <c r="BJ13" i="10" l="1"/>
  <c r="BJ14" i="10" s="1"/>
  <c r="C17" i="15"/>
  <c r="E77" i="15"/>
  <c r="BK13" i="10" l="1"/>
  <c r="BK14" i="10" s="1"/>
  <c r="BL13" i="10" l="1"/>
  <c r="BL14" i="10" s="1"/>
  <c r="D17" i="15"/>
  <c r="E17" i="15" s="1"/>
  <c r="BM13" i="10" l="1"/>
  <c r="BM14" i="10" s="1"/>
  <c r="E85" i="15"/>
  <c r="E84" i="15"/>
  <c r="E83" i="15"/>
  <c r="E82" i="15"/>
  <c r="D81" i="15"/>
  <c r="E81" i="15" s="1"/>
  <c r="E80" i="15"/>
  <c r="E79" i="15"/>
  <c r="E76" i="15"/>
  <c r="E75" i="15"/>
  <c r="D75" i="15"/>
  <c r="E74" i="15"/>
  <c r="D74" i="15"/>
  <c r="E72" i="15"/>
  <c r="E71" i="15"/>
  <c r="E70" i="15"/>
  <c r="E68" i="15"/>
  <c r="E67" i="15"/>
  <c r="C67" i="15"/>
  <c r="C66" i="15"/>
  <c r="E66" i="15" s="1"/>
  <c r="E65" i="15"/>
  <c r="E64" i="15"/>
  <c r="E63" i="15"/>
  <c r="E62" i="15"/>
  <c r="E61" i="15"/>
  <c r="E60" i="15"/>
  <c r="C59" i="15"/>
  <c r="E59" i="15" s="1"/>
  <c r="E58" i="15"/>
  <c r="C58" i="15"/>
  <c r="E57" i="15"/>
  <c r="E56" i="15"/>
  <c r="E55" i="15"/>
  <c r="E54" i="15"/>
  <c r="E53" i="15"/>
  <c r="E51" i="15"/>
  <c r="E50" i="15"/>
  <c r="E49" i="15"/>
  <c r="E48" i="15"/>
  <c r="E47" i="15"/>
  <c r="E44" i="15"/>
  <c r="E41" i="15"/>
  <c r="E40" i="15"/>
  <c r="E39" i="15"/>
  <c r="E38" i="15"/>
  <c r="C38" i="15"/>
  <c r="D36" i="15"/>
  <c r="E36" i="15" s="1"/>
  <c r="C36" i="15"/>
  <c r="D35" i="15"/>
  <c r="E35" i="15" s="1"/>
  <c r="C35" i="15"/>
  <c r="D34" i="15"/>
  <c r="E34" i="15" s="1"/>
  <c r="C34" i="15"/>
  <c r="E33" i="15"/>
  <c r="E32" i="15"/>
  <c r="E31" i="15"/>
  <c r="C30" i="15"/>
  <c r="E30" i="15" s="1"/>
  <c r="E29" i="15"/>
  <c r="C28" i="15"/>
  <c r="E28" i="15" s="1"/>
  <c r="C27" i="15"/>
  <c r="E27" i="15" s="1"/>
  <c r="E26" i="15"/>
  <c r="C26" i="15"/>
  <c r="C25" i="15"/>
  <c r="E25" i="15" s="1"/>
  <c r="D24" i="15"/>
  <c r="C24" i="15"/>
  <c r="E23" i="15"/>
  <c r="C22" i="15"/>
  <c r="E22" i="15" s="1"/>
  <c r="D21" i="15"/>
  <c r="E21" i="15" s="1"/>
  <c r="E20" i="15"/>
  <c r="E19" i="15"/>
  <c r="E18" i="15"/>
  <c r="E46" i="15"/>
  <c r="C16" i="15"/>
  <c r="D15" i="15"/>
  <c r="E15" i="15" s="1"/>
  <c r="E13" i="15"/>
  <c r="E12" i="15"/>
  <c r="E11" i="15"/>
  <c r="E10" i="15"/>
  <c r="E9" i="15"/>
  <c r="E8" i="15"/>
  <c r="E7" i="15"/>
  <c r="E6" i="15"/>
  <c r="E5" i="15"/>
  <c r="E4" i="15"/>
  <c r="E3" i="15"/>
  <c r="E2" i="15"/>
  <c r="BN13" i="10" l="1"/>
  <c r="BN14" i="10" s="1"/>
  <c r="E16" i="15"/>
  <c r="E45" i="15" s="1"/>
  <c r="E24" i="15"/>
  <c r="E73" i="15"/>
  <c r="D37" i="15"/>
  <c r="E37" i="15" s="1"/>
  <c r="E52" i="15"/>
  <c r="E14" i="15"/>
  <c r="BO13" i="10" l="1"/>
  <c r="BO14" i="10" s="1"/>
  <c r="BP13" i="10" l="1"/>
  <c r="BP14" i="10" s="1"/>
  <c r="E78" i="15"/>
  <c r="BQ13" i="10" l="1"/>
  <c r="BQ14" i="10" s="1"/>
  <c r="E87" i="15"/>
  <c r="BR13" i="10" l="1"/>
  <c r="BR14" i="10" s="1"/>
  <c r="E88" i="15"/>
  <c r="BS13" i="10" l="1"/>
  <c r="BS14" i="10" s="1"/>
  <c r="J87" i="15"/>
  <c r="J85" i="15"/>
  <c r="J83" i="15"/>
  <c r="J68" i="15"/>
  <c r="J65" i="15"/>
  <c r="J63" i="15"/>
  <c r="J61" i="15"/>
  <c r="J56" i="15"/>
  <c r="J54" i="15"/>
  <c r="J50" i="15"/>
  <c r="J48" i="15"/>
  <c r="J42" i="15"/>
  <c r="J72" i="15"/>
  <c r="J43" i="15"/>
  <c r="J38" i="15"/>
  <c r="J32" i="15"/>
  <c r="J30" i="15"/>
  <c r="J86" i="15"/>
  <c r="J80" i="15"/>
  <c r="J75" i="15"/>
  <c r="J58" i="15"/>
  <c r="J40" i="15"/>
  <c r="J4" i="15"/>
  <c r="J59" i="15"/>
  <c r="J13" i="15"/>
  <c r="J34" i="15"/>
  <c r="J29" i="15"/>
  <c r="J8" i="15"/>
  <c r="J51" i="15"/>
  <c r="J22" i="15"/>
  <c r="J57" i="15"/>
  <c r="J79" i="15"/>
  <c r="J7" i="15"/>
  <c r="J24" i="15"/>
  <c r="J44" i="15"/>
  <c r="J25" i="15"/>
  <c r="J20" i="15"/>
  <c r="J49" i="15"/>
  <c r="J46" i="15"/>
  <c r="J64" i="15"/>
  <c r="J17" i="15"/>
  <c r="J53" i="15"/>
  <c r="J9" i="15"/>
  <c r="J6" i="15"/>
  <c r="J23" i="15"/>
  <c r="J84" i="15"/>
  <c r="J47" i="15"/>
  <c r="J35" i="15"/>
  <c r="J12" i="15"/>
  <c r="J82" i="15"/>
  <c r="J19" i="15"/>
  <c r="J15" i="15"/>
  <c r="J41" i="15"/>
  <c r="J16" i="15"/>
  <c r="J76" i="15"/>
  <c r="J28" i="15"/>
  <c r="J60" i="15"/>
  <c r="J2" i="15"/>
  <c r="J11" i="15"/>
  <c r="J26" i="15"/>
  <c r="J55" i="15"/>
  <c r="J81" i="15"/>
  <c r="J5" i="15"/>
  <c r="J18" i="15"/>
  <c r="J31" i="15"/>
  <c r="J10" i="15"/>
  <c r="J33" i="15"/>
  <c r="J39" i="15"/>
  <c r="J67" i="15"/>
  <c r="J21" i="15"/>
  <c r="J66" i="15"/>
  <c r="J27" i="15"/>
  <c r="J62" i="15"/>
  <c r="J36" i="15"/>
  <c r="J3" i="15"/>
  <c r="J74" i="15"/>
  <c r="J37" i="15"/>
  <c r="J73" i="15"/>
  <c r="J52" i="15"/>
  <c r="J14" i="15"/>
  <c r="J45" i="15"/>
  <c r="J78" i="15"/>
  <c r="J77" i="15"/>
  <c r="BT13" i="10" l="1"/>
  <c r="BT14" i="10" s="1"/>
  <c r="BU13" i="10" l="1"/>
  <c r="BU14" i="10" s="1"/>
  <c r="BV13" i="10" l="1"/>
  <c r="BV14" i="10" s="1"/>
  <c r="BW13" i="10" l="1"/>
  <c r="BW14" i="10" s="1"/>
  <c r="BX13" i="10" l="1"/>
  <c r="BX14" i="10" s="1"/>
  <c r="BY13" i="10" l="1"/>
  <c r="BY14" i="10" s="1"/>
  <c r="BZ13" i="10" l="1"/>
  <c r="BZ14" i="10" s="1"/>
  <c r="CA13" i="10" l="1"/>
  <c r="CA14" i="10" s="1"/>
  <c r="CB13" i="10" l="1"/>
  <c r="CB14" i="10" s="1"/>
  <c r="CC13" i="10" l="1"/>
  <c r="CC14" i="10" s="1"/>
  <c r="N25" i="8"/>
  <c r="Q8" i="8" s="1"/>
  <c r="Q26" i="8"/>
  <c r="Q30" i="8"/>
  <c r="N37" i="8"/>
  <c r="Q9" i="8" s="1"/>
  <c r="N49" i="8"/>
  <c r="Q10" i="8" s="1"/>
  <c r="N61" i="8"/>
  <c r="Q11" i="8" s="1"/>
  <c r="N73" i="8"/>
  <c r="Q12" i="8" s="1"/>
  <c r="N85" i="8"/>
  <c r="Q13" i="8" s="1"/>
  <c r="N97" i="8"/>
  <c r="Q14" i="8" s="1"/>
  <c r="N109" i="8"/>
  <c r="Q15" i="8" s="1"/>
  <c r="N121" i="8"/>
  <c r="Q16" i="8" s="1"/>
  <c r="N133" i="8"/>
  <c r="Q17" i="8" s="1"/>
  <c r="N145" i="8"/>
  <c r="Q18" i="8" s="1"/>
  <c r="N157" i="8"/>
  <c r="Q19" i="8" s="1"/>
  <c r="N169" i="8"/>
  <c r="Q20" i="8" s="1"/>
  <c r="N181" i="8"/>
  <c r="Q21" i="8" s="1"/>
  <c r="N193" i="8"/>
  <c r="Q22" i="8" s="1"/>
  <c r="N205" i="8"/>
  <c r="Q23" i="8" s="1"/>
  <c r="N217" i="8"/>
  <c r="Q24" i="8" s="1"/>
  <c r="N229" i="8"/>
  <c r="Q25" i="8" s="1"/>
  <c r="N241" i="8"/>
  <c r="N253" i="8"/>
  <c r="Q27" i="8" s="1"/>
  <c r="N265" i="8"/>
  <c r="Q28" i="8" s="1"/>
  <c r="N277" i="8"/>
  <c r="Q29" i="8" s="1"/>
  <c r="N289" i="8"/>
  <c r="CD13" i="10" l="1"/>
  <c r="CD14" i="10" s="1"/>
  <c r="CE13" i="10" l="1"/>
  <c r="CE14" i="10" s="1"/>
  <c r="CF13" i="10" l="1"/>
  <c r="CF14" i="10" s="1"/>
  <c r="CG13" i="10" l="1"/>
  <c r="CG14" i="10" s="1"/>
  <c r="CH13" i="10" l="1"/>
  <c r="CH14" i="10" s="1"/>
  <c r="CI13" i="10" l="1"/>
  <c r="CI14" i="10" s="1"/>
  <c r="CJ13" i="10" l="1"/>
  <c r="CJ14" i="10" s="1"/>
  <c r="CK13" i="10" l="1"/>
  <c r="CK14" i="10" s="1"/>
  <c r="CL13" i="10" l="1"/>
  <c r="CL14" i="10" s="1"/>
  <c r="CM13" i="10" l="1"/>
  <c r="CM14" i="10" s="1"/>
  <c r="CN13" i="10" l="1"/>
  <c r="CN14" i="10" s="1"/>
  <c r="CO13" i="10" l="1"/>
  <c r="CO14" i="10" s="1"/>
  <c r="CP13" i="10" l="1"/>
  <c r="CP14" i="10" s="1"/>
  <c r="CQ13" i="10" l="1"/>
  <c r="CQ14" i="10" s="1"/>
  <c r="CR13" i="10" l="1"/>
  <c r="CR14" i="10" s="1"/>
  <c r="CS13" i="10" l="1"/>
  <c r="CS14" i="10" s="1"/>
  <c r="CT13" i="10" l="1"/>
  <c r="CT14" i="10" s="1"/>
  <c r="CU13" i="10" l="1"/>
  <c r="CU14" i="10" s="1"/>
  <c r="CV13" i="10" l="1"/>
  <c r="CV14" i="10" s="1"/>
  <c r="CW13" i="10" l="1"/>
  <c r="CW14" i="10" s="1"/>
  <c r="CY12" i="10" l="1"/>
  <c r="CX13" i="10"/>
  <c r="CX14" i="10" s="1"/>
  <c r="CZ12" i="10" l="1"/>
  <c r="CY13" i="10"/>
  <c r="CY14" i="10" s="1"/>
  <c r="DA12" i="10" l="1"/>
  <c r="CZ13" i="10"/>
  <c r="CZ14" i="10" s="1"/>
  <c r="DB12" i="10" l="1"/>
  <c r="DA13" i="10"/>
  <c r="DA14" i="10" s="1"/>
  <c r="DC12" i="10" l="1"/>
  <c r="DB13" i="10"/>
  <c r="DB14" i="10" s="1"/>
  <c r="AD6" i="22" l="1"/>
  <c r="DD12" i="10"/>
  <c r="DC13" i="10"/>
  <c r="DC14" i="10" s="1"/>
  <c r="DE12" i="10" l="1"/>
  <c r="DD13" i="10"/>
  <c r="DD14" i="10" s="1"/>
  <c r="DF12" i="10" l="1"/>
  <c r="DE13" i="10"/>
  <c r="DE14" i="10" s="1"/>
  <c r="DG12" i="10" l="1"/>
  <c r="DF13" i="10"/>
  <c r="DF14" i="10" s="1"/>
  <c r="DH12" i="10" l="1"/>
  <c r="DG13" i="10"/>
  <c r="DG14" i="10" s="1"/>
  <c r="DI12" i="10" l="1"/>
  <c r="DH13" i="10"/>
  <c r="DH14" i="10" s="1"/>
  <c r="DJ12" i="10" l="1"/>
  <c r="DI13" i="10"/>
  <c r="DI14" i="10" s="1"/>
  <c r="DK12" i="10" l="1"/>
  <c r="DJ13" i="10"/>
  <c r="DJ14" i="10" s="1"/>
  <c r="DL12" i="10" l="1"/>
  <c r="DK13" i="10"/>
  <c r="DK14" i="10" s="1"/>
  <c r="DM12" i="10" l="1"/>
  <c r="DL13" i="10"/>
  <c r="DL14" i="10" s="1"/>
  <c r="DN12" i="10" l="1"/>
  <c r="DM13" i="10"/>
  <c r="DM14" i="10" s="1"/>
  <c r="DO12" i="10" l="1"/>
  <c r="DN13" i="10"/>
  <c r="DN14" i="10" s="1"/>
  <c r="DP12" i="10" l="1"/>
  <c r="DO13" i="10"/>
  <c r="DO14" i="10" s="1"/>
  <c r="DQ12" i="10" l="1"/>
  <c r="DP13" i="10"/>
  <c r="DP14" i="10" s="1"/>
  <c r="DR12" i="10" l="1"/>
  <c r="DQ13" i="10"/>
  <c r="DQ14" i="10" s="1"/>
  <c r="DS12" i="10" l="1"/>
  <c r="DR13" i="10"/>
  <c r="DR14" i="10" s="1"/>
  <c r="DT12" i="10" l="1"/>
  <c r="DS13" i="10"/>
  <c r="DS14" i="10" s="1"/>
  <c r="DU12" i="10" l="1"/>
  <c r="DT13" i="10"/>
  <c r="DT14" i="10" s="1"/>
  <c r="DV12" i="10" l="1"/>
  <c r="DU13" i="10"/>
  <c r="DU14" i="10" s="1"/>
  <c r="DW12" i="10" l="1"/>
  <c r="DW13" i="10" s="1"/>
  <c r="DW14" i="10" s="1"/>
  <c r="DV13" i="10"/>
  <c r="DV14" i="10" s="1"/>
  <c r="K46" i="22" l="1"/>
  <c r="K49" i="22" s="1"/>
  <c r="L46" i="22" l="1"/>
  <c r="L49" i="22" s="1"/>
  <c r="M46" i="22" l="1"/>
  <c r="M49" i="22" s="1"/>
  <c r="N46" i="22" l="1"/>
  <c r="N49" i="22" s="1"/>
  <c r="O46" i="22" l="1"/>
  <c r="O49" i="22" s="1"/>
  <c r="P46" i="22" l="1"/>
  <c r="P49" i="22" s="1"/>
  <c r="N69" i="22" l="1"/>
  <c r="Q46" i="22"/>
  <c r="Q49" i="22" s="1"/>
  <c r="M69" i="22"/>
  <c r="R46" i="22" l="1"/>
  <c r="R49" i="22" s="1"/>
  <c r="P69" i="22" l="1"/>
  <c r="S46" i="22"/>
  <c r="S49" i="22" s="1"/>
  <c r="O69" i="22" l="1"/>
  <c r="T46" i="22"/>
  <c r="T49" i="22" s="1"/>
  <c r="Q69" i="22"/>
  <c r="U46" i="22" l="1"/>
  <c r="U49" i="22" s="1"/>
  <c r="S69" i="22" l="1"/>
  <c r="V46" i="22"/>
  <c r="V49" i="22" s="1"/>
  <c r="R69" i="22" l="1"/>
  <c r="W46" i="22"/>
  <c r="W49" i="22" s="1"/>
  <c r="U69" i="22" l="1"/>
  <c r="T69" i="22" l="1"/>
  <c r="X46" i="22"/>
  <c r="X49" i="22" s="1"/>
  <c r="Y46" i="22" l="1"/>
  <c r="Y49" i="22" s="1"/>
  <c r="Z46" i="22"/>
  <c r="Z49" i="22" s="1"/>
  <c r="V69" i="22" l="1"/>
  <c r="W69" i="22"/>
  <c r="AA46" i="22"/>
  <c r="AA49" i="22" s="1"/>
  <c r="AB46" i="22" l="1"/>
  <c r="AB49" i="22" s="1"/>
  <c r="X69" i="22"/>
  <c r="Y69" i="22" l="1"/>
  <c r="AC46" i="22"/>
  <c r="AC49" i="22" s="1"/>
  <c r="AD46" i="22" l="1"/>
  <c r="AD49" i="22" s="1"/>
  <c r="Z69" i="22"/>
  <c r="AA69" i="22" l="1"/>
  <c r="AF46" i="22" l="1"/>
  <c r="AF49" i="22" s="1"/>
  <c r="AE46" i="22"/>
  <c r="AE49" i="22" s="1"/>
  <c r="AB69" i="22" l="1"/>
  <c r="AG46" i="22"/>
  <c r="AG49" i="22" s="1"/>
  <c r="AC69" i="22" l="1"/>
  <c r="AD69" i="22" l="1"/>
  <c r="AE69" i="22" l="1"/>
  <c r="AF69" i="22" l="1"/>
  <c r="H17" i="22" l="1"/>
  <c r="L12" i="22" l="1"/>
  <c r="O17" i="22"/>
  <c r="H18" i="22"/>
  <c r="AG69" i="22" l="1"/>
  <c r="M21" i="23"/>
  <c r="N21" i="23"/>
  <c r="P21" i="23"/>
  <c r="O21" i="23"/>
  <c r="L21" i="23"/>
  <c r="K21" i="23"/>
  <c r="K24" i="23"/>
  <c r="K25" i="23" s="1"/>
  <c r="B35" i="10"/>
  <c r="O12" i="24" s="1"/>
  <c r="I22" i="10"/>
  <c r="I23" i="10"/>
  <c r="J21" i="10" l="1"/>
  <c r="J19" i="10"/>
  <c r="J23" i="10" s="1"/>
  <c r="D63" i="22"/>
  <c r="K21" i="10" l="1"/>
  <c r="K19" i="10"/>
  <c r="K23" i="10" s="1"/>
  <c r="L22" i="23"/>
  <c r="L24" i="23" s="1"/>
  <c r="L25" i="23" s="1"/>
  <c r="J22" i="10"/>
  <c r="K22" i="10" l="1"/>
  <c r="M22" i="23"/>
  <c r="M24" i="23" s="1"/>
  <c r="M25" i="23" s="1"/>
  <c r="L21" i="10"/>
  <c r="L19" i="10"/>
  <c r="L23" i="10" s="1"/>
  <c r="L22" i="10" l="1"/>
  <c r="N22" i="23"/>
  <c r="N24" i="23" s="1"/>
  <c r="N25" i="23" s="1"/>
  <c r="M19" i="10"/>
  <c r="M23" i="10" s="1"/>
  <c r="M21" i="10"/>
  <c r="B34" i="10" s="1"/>
  <c r="N19" i="10" l="1"/>
  <c r="N23" i="10" s="1"/>
  <c r="N21" i="10"/>
  <c r="M22" i="10"/>
  <c r="O22" i="23"/>
  <c r="O24" i="23" s="1"/>
  <c r="O25" i="23" s="1"/>
  <c r="D70" i="24" l="1"/>
  <c r="B36" i="10"/>
  <c r="D64" i="22"/>
  <c r="D44" i="22"/>
  <c r="D45" i="22" s="1"/>
  <c r="D52" i="24"/>
  <c r="O21" i="10"/>
  <c r="Q22" i="23" s="1"/>
  <c r="O22" i="10"/>
  <c r="O20" i="10" s="1"/>
  <c r="O19" i="10"/>
  <c r="P22" i="23"/>
  <c r="P24" i="23" s="1"/>
  <c r="P25" i="23" s="1"/>
  <c r="N22" i="10"/>
  <c r="D36" i="24" l="1"/>
  <c r="D50" i="24"/>
  <c r="Q21" i="23"/>
  <c r="Q24" i="23" s="1"/>
  <c r="Q25" i="23" s="1"/>
  <c r="D46" i="22"/>
  <c r="W7" i="22" s="1"/>
  <c r="D65" i="22"/>
  <c r="D66" i="22" s="1"/>
  <c r="W10" i="22"/>
  <c r="D71" i="24"/>
  <c r="O13" i="24"/>
  <c r="O23" i="10"/>
  <c r="D30" i="24" l="1"/>
  <c r="D51" i="24"/>
  <c r="D67" i="22"/>
  <c r="D69" i="22" s="1"/>
  <c r="D71" i="22" s="1"/>
  <c r="E70" i="22" s="1"/>
  <c r="X14" i="22"/>
  <c r="X11" i="22"/>
  <c r="D49" i="22"/>
  <c r="P22" i="10"/>
  <c r="P21" i="10"/>
  <c r="P19" i="10"/>
  <c r="D62" i="24"/>
  <c r="P20" i="10" l="1"/>
  <c r="P23" i="10"/>
  <c r="AE6" i="22"/>
  <c r="X9" i="22"/>
  <c r="AE8" i="22"/>
  <c r="X8" i="22"/>
  <c r="X15" i="22"/>
  <c r="X6" i="22"/>
  <c r="AE7" i="22"/>
  <c r="X16" i="22"/>
  <c r="X7" i="22"/>
  <c r="R21" i="23"/>
  <c r="R22" i="23"/>
  <c r="D59" i="24"/>
  <c r="D53" i="24"/>
  <c r="D33" i="24" l="1"/>
  <c r="D34" i="24" s="1"/>
  <c r="R24" i="23"/>
  <c r="R25" i="23" s="1"/>
  <c r="D60" i="24"/>
  <c r="D61" i="24" s="1"/>
  <c r="Q21" i="10"/>
  <c r="Q22" i="10"/>
  <c r="Q20" i="10" s="1"/>
  <c r="Q19" i="10"/>
  <c r="D35" i="24" l="1"/>
  <c r="D54" i="24" s="1"/>
  <c r="D55" i="24" s="1"/>
  <c r="S21" i="23"/>
  <c r="S22" i="23"/>
  <c r="Q23" i="10"/>
  <c r="D63" i="24"/>
  <c r="D64" i="24" s="1"/>
  <c r="D67" i="24" s="1"/>
  <c r="D83" i="24"/>
  <c r="D85" i="24" s="1"/>
  <c r="D72" i="24" l="1"/>
  <c r="O11" i="24"/>
  <c r="C62" i="24"/>
  <c r="R22" i="10"/>
  <c r="R20" i="10" s="1"/>
  <c r="R21" i="10"/>
  <c r="R19" i="10"/>
  <c r="S24" i="23"/>
  <c r="S25" i="23" s="1"/>
  <c r="R23" i="10" l="1"/>
  <c r="T21" i="23"/>
  <c r="T22" i="23"/>
  <c r="O14" i="24"/>
  <c r="D73" i="24"/>
  <c r="D75" i="24" s="1"/>
  <c r="D77" i="24" s="1"/>
  <c r="E76" i="24" s="1"/>
  <c r="T24" i="23" l="1"/>
  <c r="T25" i="23" s="1"/>
  <c r="S22" i="10"/>
  <c r="S21" i="10"/>
  <c r="S19" i="10"/>
  <c r="S20" i="10" l="1"/>
  <c r="S23" i="10"/>
  <c r="U22" i="23"/>
  <c r="U21" i="23"/>
  <c r="U24" i="23" l="1"/>
  <c r="U25" i="23" s="1"/>
  <c r="T22" i="10"/>
  <c r="T21" i="10"/>
  <c r="V22" i="23" s="1"/>
  <c r="T19" i="10"/>
  <c r="T20" i="10" l="1"/>
  <c r="V21" i="23" s="1"/>
  <c r="V24" i="23" s="1"/>
  <c r="V25" i="23" s="1"/>
  <c r="T23" i="10" l="1"/>
  <c r="U21" i="10"/>
  <c r="W22" i="23" s="1"/>
  <c r="U22" i="10"/>
  <c r="U20" i="10" s="1"/>
  <c r="W21" i="23" s="1"/>
  <c r="W24" i="23" s="1"/>
  <c r="W25" i="23" s="1"/>
  <c r="U19" i="10"/>
  <c r="U23" i="10" l="1"/>
  <c r="V21" i="10" l="1"/>
  <c r="X22" i="23" s="1"/>
  <c r="V22" i="10"/>
  <c r="V20" i="10" s="1"/>
  <c r="X21" i="23" s="1"/>
  <c r="X24" i="23" s="1"/>
  <c r="X25" i="23" s="1"/>
  <c r="V19" i="10"/>
  <c r="V23" i="10" l="1"/>
  <c r="W21" i="10" l="1"/>
  <c r="Y22" i="23" s="1"/>
  <c r="W22" i="10"/>
  <c r="W20" i="10" s="1"/>
  <c r="Y21" i="23" s="1"/>
  <c r="Y24" i="23" s="1"/>
  <c r="Y25" i="23" s="1"/>
  <c r="W19" i="10"/>
  <c r="W23" i="10" l="1"/>
  <c r="X21" i="10" l="1"/>
  <c r="Z22" i="23" s="1"/>
  <c r="X22" i="10"/>
  <c r="X20" i="10" s="1"/>
  <c r="Z21" i="23" s="1"/>
  <c r="Z24" i="23" s="1"/>
  <c r="Z25" i="23" s="1"/>
  <c r="X19" i="10"/>
  <c r="X23" i="10" l="1"/>
  <c r="Y22" i="10" l="1"/>
  <c r="Y21" i="10"/>
  <c r="Y19" i="10"/>
  <c r="AA22" i="23" l="1"/>
  <c r="C34" i="10"/>
  <c r="Y20" i="10"/>
  <c r="AA21" i="23" l="1"/>
  <c r="AA24" i="23" s="1"/>
  <c r="AA25" i="23" s="1"/>
  <c r="C35" i="10"/>
  <c r="C36" i="10" s="1"/>
  <c r="E52" i="24"/>
  <c r="E70" i="24"/>
  <c r="E64" i="22"/>
  <c r="E65" i="22" s="1"/>
  <c r="E44" i="22"/>
  <c r="E45" i="22" s="1"/>
  <c r="Y23" i="10"/>
  <c r="Z21" i="10" l="1"/>
  <c r="Z22" i="10"/>
  <c r="Z19" i="10"/>
  <c r="E46" i="22"/>
  <c r="E49" i="22" s="1"/>
  <c r="E36" i="24"/>
  <c r="E50" i="24"/>
  <c r="E69" i="24"/>
  <c r="P12" i="24" s="1"/>
  <c r="E63" i="22"/>
  <c r="E66" i="22" s="1"/>
  <c r="P13" i="24"/>
  <c r="E71" i="24"/>
  <c r="Z20" i="10" l="1"/>
  <c r="E67" i="22"/>
  <c r="E69" i="22" s="1"/>
  <c r="E71" i="22" s="1"/>
  <c r="F70" i="22" s="1"/>
  <c r="E51" i="24"/>
  <c r="E62" i="24"/>
  <c r="E30" i="24"/>
  <c r="Z23" i="10"/>
  <c r="AB21" i="23"/>
  <c r="AB22" i="23"/>
  <c r="AB24" i="23" l="1"/>
  <c r="AB25" i="23" s="1"/>
  <c r="AA22" i="10"/>
  <c r="AA21" i="10"/>
  <c r="AA19" i="10"/>
  <c r="E59" i="24"/>
  <c r="E53" i="24"/>
  <c r="E60" i="24" l="1"/>
  <c r="E61" i="24" s="1"/>
  <c r="E33" i="24"/>
  <c r="E35" i="24" s="1"/>
  <c r="E54" i="24" s="1"/>
  <c r="E55" i="24" s="1"/>
  <c r="AC22" i="23"/>
  <c r="AA20" i="10"/>
  <c r="AC21" i="23" l="1"/>
  <c r="AC24" i="23" s="1"/>
  <c r="AC25" i="23" s="1"/>
  <c r="AA23" i="10"/>
  <c r="E63" i="24"/>
  <c r="E64" i="24" s="1"/>
  <c r="E67" i="24" s="1"/>
  <c r="E34" i="24"/>
  <c r="E83" i="24"/>
  <c r="E85" i="24" s="1"/>
  <c r="E72" i="24" l="1"/>
  <c r="P11" i="24"/>
  <c r="AB22" i="10"/>
  <c r="AB21" i="10"/>
  <c r="AB19" i="10"/>
  <c r="AB20" i="10" l="1"/>
  <c r="AD21" i="23"/>
  <c r="AD22" i="23"/>
  <c r="E73" i="24"/>
  <c r="E75" i="24" s="1"/>
  <c r="E77" i="24" s="1"/>
  <c r="F76" i="24" s="1"/>
  <c r="P14" i="24"/>
  <c r="AB23" i="10"/>
  <c r="AD24" i="23" l="1"/>
  <c r="AD25" i="23" s="1"/>
  <c r="AC21" i="10"/>
  <c r="AC22" i="10"/>
  <c r="AC20" i="10" s="1"/>
  <c r="AC19" i="10"/>
  <c r="AC23" i="10" l="1"/>
  <c r="AD21" i="10" s="1"/>
  <c r="AF22" i="23" s="1"/>
  <c r="AE21" i="23"/>
  <c r="AE22" i="23"/>
  <c r="AD22" i="10" l="1"/>
  <c r="AD20" i="10" s="1"/>
  <c r="AF21" i="23" s="1"/>
  <c r="AF24" i="23" s="1"/>
  <c r="AD19" i="10"/>
  <c r="AD23" i="10"/>
  <c r="AE24" i="23"/>
  <c r="AE25" i="23" s="1"/>
  <c r="AF25" i="23" s="1"/>
  <c r="AE21" i="10"/>
  <c r="AE22" i="10"/>
  <c r="AE19" i="10"/>
  <c r="AG22" i="23" l="1"/>
  <c r="AE20" i="10"/>
  <c r="AG21" i="23" l="1"/>
  <c r="AG24" i="23" s="1"/>
  <c r="AG25" i="23" s="1"/>
  <c r="AE23" i="10"/>
  <c r="AF22" i="10" l="1"/>
  <c r="AF21" i="10"/>
  <c r="AF19" i="10"/>
  <c r="AF20" i="10" l="1"/>
  <c r="AH21" i="23" s="1"/>
  <c r="AF23" i="10"/>
  <c r="AG21" i="10" s="1"/>
  <c r="AI22" i="23" s="1"/>
  <c r="AG22" i="10"/>
  <c r="AH22" i="23"/>
  <c r="AH24" i="23"/>
  <c r="AH25" i="23" s="1"/>
  <c r="AG20" i="10" l="1"/>
  <c r="AI21" i="23" s="1"/>
  <c r="AI24" i="23" s="1"/>
  <c r="AI25" i="23" s="1"/>
  <c r="AG19" i="10"/>
  <c r="AG23" i="10" l="1"/>
  <c r="AH22" i="10"/>
  <c r="AH21" i="10"/>
  <c r="AH19" i="10"/>
  <c r="AH20" i="10" l="1"/>
  <c r="AJ21" i="23" s="1"/>
  <c r="AH23" i="10"/>
  <c r="AJ22" i="23"/>
  <c r="AJ24" i="23" s="1"/>
  <c r="AJ25" i="23" s="1"/>
  <c r="AI21" i="10" l="1"/>
  <c r="AI22" i="10"/>
  <c r="AI20" i="10" s="1"/>
  <c r="AK21" i="23" s="1"/>
  <c r="AI19" i="10"/>
  <c r="AI23" i="10" l="1"/>
  <c r="AK22" i="23"/>
  <c r="AK24" i="23" s="1"/>
  <c r="AK25" i="23" s="1"/>
  <c r="AJ22" i="10" l="1"/>
  <c r="AJ21" i="10"/>
  <c r="AJ19" i="10"/>
  <c r="AJ20" i="10" l="1"/>
  <c r="AL21" i="23" s="1"/>
  <c r="AJ23" i="10"/>
  <c r="AL22" i="23"/>
  <c r="AL24" i="23"/>
  <c r="AL25" i="23" s="1"/>
  <c r="AK21" i="10" l="1"/>
  <c r="AK22" i="10"/>
  <c r="AK20" i="10" s="1"/>
  <c r="AK19" i="10"/>
  <c r="AM21" i="23" l="1"/>
  <c r="D35" i="10"/>
  <c r="AM22" i="23"/>
  <c r="D34" i="10"/>
  <c r="AK23" i="10"/>
  <c r="AL21" i="10" l="1"/>
  <c r="AN22" i="23" s="1"/>
  <c r="AL22" i="10"/>
  <c r="AL20" i="10" s="1"/>
  <c r="AL19" i="10"/>
  <c r="F52" i="24"/>
  <c r="F44" i="22"/>
  <c r="F45" i="22" s="1"/>
  <c r="F70" i="24"/>
  <c r="F64" i="22"/>
  <c r="F65" i="22" s="1"/>
  <c r="D36" i="10"/>
  <c r="F69" i="24"/>
  <c r="Q12" i="24" s="1"/>
  <c r="F63" i="22"/>
  <c r="AM24" i="23"/>
  <c r="AM25" i="23" s="1"/>
  <c r="AL23" i="10" l="1"/>
  <c r="F66" i="22"/>
  <c r="AD9" i="22"/>
  <c r="F36" i="24"/>
  <c r="F50" i="24"/>
  <c r="AM21" i="10"/>
  <c r="AO22" i="23" s="1"/>
  <c r="AM22" i="10"/>
  <c r="AM20" i="10" s="1"/>
  <c r="AO21" i="23" s="1"/>
  <c r="AO24" i="23" s="1"/>
  <c r="AM19" i="10"/>
  <c r="F71" i="24"/>
  <c r="Q13" i="24"/>
  <c r="AN21" i="23"/>
  <c r="AN24" i="23" s="1"/>
  <c r="AN25" i="23" s="1"/>
  <c r="F46" i="22"/>
  <c r="F49" i="22" s="1"/>
  <c r="AO25" i="23" l="1"/>
  <c r="AM23" i="10"/>
  <c r="F51" i="24"/>
  <c r="F62" i="24"/>
  <c r="F30" i="24"/>
  <c r="F67" i="22"/>
  <c r="F69" i="22" s="1"/>
  <c r="F71" i="22" s="1"/>
  <c r="G70" i="22" s="1"/>
  <c r="AD5" i="22"/>
  <c r="AE5" i="22" s="1"/>
  <c r="F53" i="24" l="1"/>
  <c r="F59" i="24"/>
  <c r="AN21" i="10"/>
  <c r="AP22" i="23" s="1"/>
  <c r="AN22" i="10"/>
  <c r="AN19" i="10"/>
  <c r="AN20" i="10" l="1"/>
  <c r="AN23" i="10"/>
  <c r="F60" i="24"/>
  <c r="F61" i="24" s="1"/>
  <c r="AP21" i="23"/>
  <c r="AP24" i="23" s="1"/>
  <c r="AP25" i="23" s="1"/>
  <c r="F33" i="24"/>
  <c r="F35" i="24" s="1"/>
  <c r="F54" i="24" s="1"/>
  <c r="F55" i="24" s="1"/>
  <c r="F63" i="24" l="1"/>
  <c r="F64" i="24" s="1"/>
  <c r="F67" i="24" s="1"/>
  <c r="F34" i="24"/>
  <c r="F83" i="24"/>
  <c r="F85" i="24" s="1"/>
  <c r="AO21" i="10"/>
  <c r="AQ22" i="23" s="1"/>
  <c r="AO22" i="10"/>
  <c r="AO20" i="10" s="1"/>
  <c r="AO19" i="10"/>
  <c r="AQ21" i="23" l="1"/>
  <c r="AQ24" i="23" s="1"/>
  <c r="AQ25" i="23" s="1"/>
  <c r="F72" i="24"/>
  <c r="Q11" i="24"/>
  <c r="AO23" i="10"/>
  <c r="AP22" i="10" l="1"/>
  <c r="AP20" i="10" s="1"/>
  <c r="AP21" i="10"/>
  <c r="AR22" i="23" s="1"/>
  <c r="AP19" i="10"/>
  <c r="Q14" i="24"/>
  <c r="F73" i="24"/>
  <c r="F75" i="24" s="1"/>
  <c r="F77" i="24" s="1"/>
  <c r="G76" i="24" s="1"/>
  <c r="AP23" i="10" l="1"/>
  <c r="AR21" i="23"/>
  <c r="AR24" i="23" s="1"/>
  <c r="AR25" i="23" s="1"/>
  <c r="AQ21" i="10" l="1"/>
  <c r="AQ22" i="10"/>
  <c r="AQ20" i="10" s="1"/>
  <c r="AQ19" i="10"/>
  <c r="AS21" i="23" l="1"/>
  <c r="AS22" i="23"/>
  <c r="E34" i="10"/>
  <c r="AQ23" i="10"/>
  <c r="G44" i="22" l="1"/>
  <c r="G45" i="22" s="1"/>
  <c r="G70" i="24"/>
  <c r="G52" i="24"/>
  <c r="G64" i="22"/>
  <c r="G65" i="22" s="1"/>
  <c r="AR22" i="10"/>
  <c r="AR20" i="10" s="1"/>
  <c r="AT21" i="23" s="1"/>
  <c r="AR21" i="10"/>
  <c r="AR19" i="10"/>
  <c r="AS24" i="23"/>
  <c r="AS25" i="23" s="1"/>
  <c r="AR23" i="10" l="1"/>
  <c r="G36" i="24"/>
  <c r="G50" i="24"/>
  <c r="AT22" i="23"/>
  <c r="AT24" i="23" s="1"/>
  <c r="AT25" i="23" s="1"/>
  <c r="G71" i="24"/>
  <c r="R13" i="24"/>
  <c r="G46" i="22"/>
  <c r="G49" i="22" s="1"/>
  <c r="G62" i="24" l="1"/>
  <c r="G51" i="24"/>
  <c r="G30" i="24"/>
  <c r="AS22" i="10"/>
  <c r="AS20" i="10" s="1"/>
  <c r="AU21" i="23" s="1"/>
  <c r="AS21" i="10"/>
  <c r="AS19" i="10"/>
  <c r="AS23" i="10" l="1"/>
  <c r="AT22" i="10"/>
  <c r="AT21" i="10"/>
  <c r="AV22" i="23" s="1"/>
  <c r="AT19" i="10"/>
  <c r="G59" i="24"/>
  <c r="G53" i="24"/>
  <c r="AU22" i="23"/>
  <c r="AU24" i="23" s="1"/>
  <c r="AU25" i="23" s="1"/>
  <c r="G33" i="24" l="1"/>
  <c r="G35" i="24" s="1"/>
  <c r="G54" i="24" s="1"/>
  <c r="G55" i="24" s="1"/>
  <c r="G60" i="24"/>
  <c r="G61" i="24" s="1"/>
  <c r="AT20" i="10"/>
  <c r="AV21" i="23" s="1"/>
  <c r="AV24" i="23" s="1"/>
  <c r="AV25" i="23" s="1"/>
  <c r="AT23" i="10" l="1"/>
  <c r="AU21" i="10" s="1"/>
  <c r="G63" i="24"/>
  <c r="G64" i="24" s="1"/>
  <c r="G67" i="24" s="1"/>
  <c r="G34" i="24"/>
  <c r="G83" i="24"/>
  <c r="G85" i="24" s="1"/>
  <c r="AU19" i="10" l="1"/>
  <c r="AU22" i="10"/>
  <c r="AU20" i="10" s="1"/>
  <c r="AW21" i="23" s="1"/>
  <c r="AW22" i="23"/>
  <c r="R11" i="24"/>
  <c r="AW24" i="23" l="1"/>
  <c r="AW25" i="23" s="1"/>
  <c r="AU23" i="10"/>
  <c r="AV21" i="10" s="1"/>
  <c r="AV22" i="10" l="1"/>
  <c r="AV20" i="10" s="1"/>
  <c r="AX21" i="23" s="1"/>
  <c r="AV19" i="10"/>
  <c r="AV23" i="10" s="1"/>
  <c r="AX22" i="23"/>
  <c r="AX24" i="23" l="1"/>
  <c r="AX25" i="23" s="1"/>
  <c r="AW22" i="10"/>
  <c r="AW21" i="10"/>
  <c r="AW19" i="10"/>
  <c r="AY22" i="23" l="1"/>
  <c r="AW20" i="10"/>
  <c r="AY21" i="23" l="1"/>
  <c r="AY24" i="23" s="1"/>
  <c r="AY25" i="23" s="1"/>
  <c r="E35" i="10"/>
  <c r="AW23" i="10"/>
  <c r="AX21" i="10" l="1"/>
  <c r="AZ22" i="23" s="1"/>
  <c r="AX19" i="10"/>
  <c r="AX22" i="10"/>
  <c r="AX20" i="10" s="1"/>
  <c r="G69" i="24"/>
  <c r="G63" i="22"/>
  <c r="G66" i="22" s="1"/>
  <c r="E36" i="10"/>
  <c r="G67" i="22" l="1"/>
  <c r="G69" i="22" s="1"/>
  <c r="G71" i="22" s="1"/>
  <c r="H70" i="22" s="1"/>
  <c r="R12" i="24"/>
  <c r="G72" i="24"/>
  <c r="AZ21" i="23"/>
  <c r="AZ24" i="23" s="1"/>
  <c r="AZ25" i="23" s="1"/>
  <c r="AX23" i="10"/>
  <c r="AY22" i="10" l="1"/>
  <c r="AY20" i="10" s="1"/>
  <c r="AY21" i="10"/>
  <c r="BA22" i="23" s="1"/>
  <c r="AY19" i="10"/>
  <c r="G73" i="24"/>
  <c r="G75" i="24" s="1"/>
  <c r="G77" i="24" s="1"/>
  <c r="H76" i="24" s="1"/>
  <c r="R14" i="24"/>
  <c r="AY23" i="10" l="1"/>
  <c r="BA21" i="23"/>
  <c r="BA24" i="23" s="1"/>
  <c r="BA25" i="23" s="1"/>
  <c r="AZ22" i="10" l="1"/>
  <c r="AZ19" i="10"/>
  <c r="AZ21" i="10"/>
  <c r="BB22" i="23" s="1"/>
  <c r="AZ20" i="10" l="1"/>
  <c r="AZ23" i="10"/>
  <c r="BB21" i="23"/>
  <c r="BB24" i="23" s="1"/>
  <c r="BB25" i="23" s="1"/>
  <c r="BA21" i="10" l="1"/>
  <c r="BC22" i="23" s="1"/>
  <c r="BA19" i="10"/>
  <c r="BA22" i="10"/>
  <c r="BA20" i="10" l="1"/>
  <c r="BC21" i="23"/>
  <c r="BC24" i="23" s="1"/>
  <c r="BC25" i="23" s="1"/>
  <c r="BA23" i="10"/>
  <c r="BB21" i="10" l="1"/>
  <c r="BD22" i="23" s="1"/>
  <c r="BB22" i="10"/>
  <c r="BB20" i="10" s="1"/>
  <c r="BB19" i="10"/>
  <c r="BB23" i="10" l="1"/>
  <c r="BD21" i="23"/>
  <c r="BD24" i="23" s="1"/>
  <c r="BD25" i="23" s="1"/>
  <c r="BC22" i="10" l="1"/>
  <c r="BC19" i="10"/>
  <c r="BC21" i="10"/>
  <c r="BC20" i="10" l="1"/>
  <c r="BE21" i="23" s="1"/>
  <c r="BE22" i="23"/>
  <c r="F34" i="10"/>
  <c r="BC23" i="10"/>
  <c r="BE24" i="23"/>
  <c r="BE25" i="23" s="1"/>
  <c r="BD22" i="10" l="1"/>
  <c r="BD21" i="10"/>
  <c r="BD19" i="10"/>
  <c r="H52" i="24"/>
  <c r="H70" i="24"/>
  <c r="H64" i="22"/>
  <c r="H65" i="22" s="1"/>
  <c r="H44" i="22"/>
  <c r="H45" i="22" s="1"/>
  <c r="H36" i="24" l="1"/>
  <c r="H50" i="24"/>
  <c r="H71" i="24"/>
  <c r="S13" i="24"/>
  <c r="H46" i="22"/>
  <c r="H49" i="22" s="1"/>
  <c r="BD20" i="10"/>
  <c r="BF21" i="23" s="1"/>
  <c r="BF22" i="23"/>
  <c r="BF24" i="23" l="1"/>
  <c r="BF25" i="23" s="1"/>
  <c r="BD23" i="10"/>
  <c r="H51" i="24"/>
  <c r="H62" i="24"/>
  <c r="H30" i="24"/>
  <c r="H59" i="24" l="1"/>
  <c r="H53" i="24"/>
  <c r="BE21" i="10"/>
  <c r="BE22" i="10"/>
  <c r="BE20" i="10" s="1"/>
  <c r="BG21" i="23" s="1"/>
  <c r="BE19" i="10"/>
  <c r="BE23" i="10" l="1"/>
  <c r="H60" i="24"/>
  <c r="H61" i="24" s="1"/>
  <c r="BG22" i="23"/>
  <c r="BG24" i="23" s="1"/>
  <c r="BG25" i="23" s="1"/>
  <c r="H33" i="24"/>
  <c r="H35" i="24" s="1"/>
  <c r="H54" i="24" s="1"/>
  <c r="H55" i="24" s="1"/>
  <c r="H63" i="24" l="1"/>
  <c r="H64" i="24" s="1"/>
  <c r="H67" i="24" s="1"/>
  <c r="H34" i="24"/>
  <c r="H83" i="24"/>
  <c r="H85" i="24" s="1"/>
  <c r="BF21" i="10"/>
  <c r="BF22" i="10"/>
  <c r="BF20" i="10" s="1"/>
  <c r="BH21" i="23" s="1"/>
  <c r="BF19" i="10"/>
  <c r="S11" i="24" l="1"/>
  <c r="BF23" i="10"/>
  <c r="BH22" i="23"/>
  <c r="BH24" i="23" s="1"/>
  <c r="BH25" i="23" s="1"/>
  <c r="BG22" i="10" l="1"/>
  <c r="BG21" i="10"/>
  <c r="BG19" i="10"/>
  <c r="BG20" i="10" l="1"/>
  <c r="BI21" i="23" s="1"/>
  <c r="BG23" i="10"/>
  <c r="BI22" i="23"/>
  <c r="BI24" i="23" s="1"/>
  <c r="BI25" i="23" s="1"/>
  <c r="BH21" i="10" l="1"/>
  <c r="BH22" i="10"/>
  <c r="BH20" i="10" s="1"/>
  <c r="BJ21" i="23" s="1"/>
  <c r="BH19" i="10"/>
  <c r="BH23" i="10" l="1"/>
  <c r="BJ22" i="23"/>
  <c r="BJ24" i="23"/>
  <c r="BJ25" i="23" s="1"/>
  <c r="BI21" i="10" l="1"/>
  <c r="BK22" i="23" s="1"/>
  <c r="BI19" i="10"/>
  <c r="BI22" i="10"/>
  <c r="BI20" i="10" s="1"/>
  <c r="BK21" i="23" l="1"/>
  <c r="BK24" i="23" s="1"/>
  <c r="BK25" i="23" s="1"/>
  <c r="F35" i="10"/>
  <c r="BI23" i="10"/>
  <c r="BJ21" i="10" l="1"/>
  <c r="BL22" i="23" s="1"/>
  <c r="BJ19" i="10"/>
  <c r="BJ22" i="10"/>
  <c r="BJ20" i="10" s="1"/>
  <c r="H69" i="24"/>
  <c r="H63" i="22"/>
  <c r="H66" i="22" s="1"/>
  <c r="F36" i="10"/>
  <c r="S12" i="24" l="1"/>
  <c r="H72" i="24"/>
  <c r="BL21" i="23"/>
  <c r="BL24" i="23" s="1"/>
  <c r="BL25" i="23" s="1"/>
  <c r="H67" i="22"/>
  <c r="H69" i="22" s="1"/>
  <c r="H71" i="22" s="1"/>
  <c r="I70" i="22" s="1"/>
  <c r="BJ23" i="10"/>
  <c r="BK22" i="10" l="1"/>
  <c r="BK21" i="10"/>
  <c r="BM22" i="23" s="1"/>
  <c r="BK19" i="10"/>
  <c r="S14" i="24"/>
  <c r="H73" i="24"/>
  <c r="H75" i="24" s="1"/>
  <c r="H77" i="24" s="1"/>
  <c r="I76" i="24" s="1"/>
  <c r="BK20" i="10" l="1"/>
  <c r="BK23" i="10" s="1"/>
  <c r="BM21" i="23" l="1"/>
  <c r="BM24" i="23" s="1"/>
  <c r="BM25" i="23" s="1"/>
  <c r="BL21" i="10"/>
  <c r="BN22" i="23" s="1"/>
  <c r="BL22" i="10"/>
  <c r="BL20" i="10" s="1"/>
  <c r="BN21" i="23" s="1"/>
  <c r="BN24" i="23" s="1"/>
  <c r="BL19" i="10"/>
  <c r="BL23" i="10" l="1"/>
  <c r="BN25" i="23"/>
  <c r="BM21" i="10" l="1"/>
  <c r="BO22" i="23" s="1"/>
  <c r="BM22" i="10"/>
  <c r="BM20" i="10" s="1"/>
  <c r="BM19" i="10"/>
  <c r="BM23" i="10" l="1"/>
  <c r="BO21" i="23"/>
  <c r="BO24" i="23" s="1"/>
  <c r="BO25" i="23" s="1"/>
  <c r="BN22" i="10" l="1"/>
  <c r="BN20" i="10" s="1"/>
  <c r="BN21" i="10"/>
  <c r="BP22" i="23" s="1"/>
  <c r="BN19" i="10"/>
  <c r="BN23" i="10" l="1"/>
  <c r="BP21" i="23"/>
  <c r="BP24" i="23" s="1"/>
  <c r="BP25" i="23" s="1"/>
  <c r="BO22" i="10" l="1"/>
  <c r="BO19" i="10"/>
  <c r="BO21" i="10"/>
  <c r="BO20" i="10" l="1"/>
  <c r="BQ22" i="23"/>
  <c r="G34" i="10"/>
  <c r="BO23" i="10"/>
  <c r="BQ21" i="23"/>
  <c r="BQ24" i="23" s="1"/>
  <c r="BQ25" i="23" s="1"/>
  <c r="BP22" i="10" l="1"/>
  <c r="BP21" i="10"/>
  <c r="BP19" i="10"/>
  <c r="I44" i="22"/>
  <c r="I45" i="22" s="1"/>
  <c r="I64" i="22"/>
  <c r="I65" i="22" s="1"/>
  <c r="I52" i="24"/>
  <c r="I70" i="24"/>
  <c r="BP20" i="10" l="1"/>
  <c r="BP23" i="10"/>
  <c r="BQ22" i="10"/>
  <c r="BQ19" i="10"/>
  <c r="BQ21" i="10"/>
  <c r="BS22" i="23" s="1"/>
  <c r="BR22" i="23"/>
  <c r="BR21" i="23"/>
  <c r="I71" i="24"/>
  <c r="T13" i="24"/>
  <c r="I36" i="24"/>
  <c r="I50" i="24"/>
  <c r="I46" i="22"/>
  <c r="I49" i="22" s="1"/>
  <c r="BR24" i="23" l="1"/>
  <c r="BR25" i="23" s="1"/>
  <c r="BQ20" i="10"/>
  <c r="BQ23" i="10" s="1"/>
  <c r="I51" i="24"/>
  <c r="I62" i="24"/>
  <c r="I30" i="24"/>
  <c r="BS21" i="23" l="1"/>
  <c r="BS24" i="23" s="1"/>
  <c r="BS25" i="23" s="1"/>
  <c r="BR22" i="10"/>
  <c r="BR19" i="10"/>
  <c r="BR21" i="10"/>
  <c r="I53" i="24"/>
  <c r="I59" i="24"/>
  <c r="BT22" i="23" l="1"/>
  <c r="BR20" i="10"/>
  <c r="I60" i="24"/>
  <c r="I61" i="24" s="1"/>
  <c r="I33" i="24"/>
  <c r="I35" i="24" s="1"/>
  <c r="I54" i="24" s="1"/>
  <c r="I55" i="24" s="1"/>
  <c r="BT21" i="23" l="1"/>
  <c r="BT24" i="23" s="1"/>
  <c r="BT25" i="23" s="1"/>
  <c r="BR23" i="10"/>
  <c r="I63" i="24"/>
  <c r="I64" i="24" s="1"/>
  <c r="I67" i="24" s="1"/>
  <c r="I34" i="24"/>
  <c r="I83" i="24"/>
  <c r="I85" i="24" s="1"/>
  <c r="BS22" i="10" l="1"/>
  <c r="BS19" i="10"/>
  <c r="BS21" i="10"/>
  <c r="T11" i="24"/>
  <c r="BU22" i="23" l="1"/>
  <c r="BS20" i="10"/>
  <c r="BU21" i="23" l="1"/>
  <c r="BU24" i="23" s="1"/>
  <c r="BU25" i="23" s="1"/>
  <c r="BS23" i="10"/>
  <c r="BT21" i="10" l="1"/>
  <c r="BT22" i="10"/>
  <c r="BT20" i="10" s="1"/>
  <c r="BT19" i="10"/>
  <c r="BT23" i="10" l="1"/>
  <c r="BV21" i="23"/>
  <c r="BV22" i="23"/>
  <c r="BV24" i="23" l="1"/>
  <c r="BV25" i="23" s="1"/>
  <c r="BU21" i="10"/>
  <c r="BU22" i="10"/>
  <c r="BU19" i="10"/>
  <c r="BU20" i="10" l="1"/>
  <c r="BW22" i="23"/>
  <c r="BU23" i="10"/>
  <c r="BV21" i="10" l="1"/>
  <c r="BX22" i="23" s="1"/>
  <c r="BV22" i="10"/>
  <c r="BV20" i="10" s="1"/>
  <c r="BV19" i="10"/>
  <c r="BW21" i="23"/>
  <c r="BW24" i="23" s="1"/>
  <c r="BW25" i="23" s="1"/>
  <c r="G35" i="10"/>
  <c r="I69" i="24" l="1"/>
  <c r="I63" i="22"/>
  <c r="I66" i="22" s="1"/>
  <c r="G36" i="10"/>
  <c r="BV23" i="10"/>
  <c r="BX21" i="23"/>
  <c r="BX24" i="23" s="1"/>
  <c r="BX25" i="23" s="1"/>
  <c r="BW21" i="10" l="1"/>
  <c r="BY22" i="23" s="1"/>
  <c r="BW22" i="10"/>
  <c r="BW19" i="10"/>
  <c r="I67" i="22"/>
  <c r="I69" i="22" s="1"/>
  <c r="I71" i="22" s="1"/>
  <c r="J70" i="22" s="1"/>
  <c r="T13" i="22"/>
  <c r="T12" i="24"/>
  <c r="I72" i="24"/>
  <c r="BW20" i="10" l="1"/>
  <c r="BW23" i="10"/>
  <c r="BY21" i="23"/>
  <c r="BY24" i="23" s="1"/>
  <c r="BY25" i="23" s="1"/>
  <c r="I73" i="24"/>
  <c r="I75" i="24" s="1"/>
  <c r="I77" i="24" s="1"/>
  <c r="J76" i="24" s="1"/>
  <c r="T14" i="24"/>
  <c r="BX22" i="10" l="1"/>
  <c r="BX20" i="10" s="1"/>
  <c r="BX19" i="10"/>
  <c r="BX21" i="10"/>
  <c r="BZ22" i="23" s="1"/>
  <c r="BX23" i="10" l="1"/>
  <c r="BZ21" i="23"/>
  <c r="BZ24" i="23" s="1"/>
  <c r="BZ25" i="23" s="1"/>
  <c r="BY21" i="10" l="1"/>
  <c r="BY22" i="10"/>
  <c r="BY20" i="10" s="1"/>
  <c r="BY19" i="10"/>
  <c r="BY23" i="10" l="1"/>
  <c r="BZ21" i="10" l="1"/>
  <c r="BZ22" i="10"/>
  <c r="BZ20" i="10" s="1"/>
  <c r="BZ19" i="10"/>
  <c r="BZ23" i="10" l="1"/>
  <c r="CA21" i="10" l="1"/>
  <c r="H34" i="10" s="1"/>
  <c r="CA19" i="10"/>
  <c r="CA22" i="10"/>
  <c r="CA20" i="10" l="1"/>
  <c r="CA23" i="10" s="1"/>
  <c r="J70" i="24"/>
  <c r="J71" i="24" s="1"/>
  <c r="J44" i="22"/>
  <c r="J45" i="22" s="1"/>
  <c r="J46" i="22" s="1"/>
  <c r="J49" i="22" s="1"/>
  <c r="J52" i="24"/>
  <c r="J64" i="22"/>
  <c r="J65" i="22" s="1"/>
  <c r="J36" i="24" l="1"/>
  <c r="J50" i="24"/>
  <c r="CB19" i="10"/>
  <c r="CB22" i="10"/>
  <c r="CB21" i="10"/>
  <c r="CB20" i="10" l="1"/>
  <c r="CB23" i="10" s="1"/>
  <c r="J30" i="24"/>
  <c r="K50" i="24" s="1"/>
  <c r="J51" i="24"/>
  <c r="J62" i="24"/>
  <c r="J53" i="24" l="1"/>
  <c r="J59" i="24"/>
  <c r="J60" i="24" s="1"/>
  <c r="J61" i="24" s="1"/>
  <c r="K30" i="24"/>
  <c r="L50" i="24" s="1"/>
  <c r="K62" i="24"/>
  <c r="K51" i="24"/>
  <c r="CC22" i="10"/>
  <c r="CC20" i="10" s="1"/>
  <c r="CC19" i="10"/>
  <c r="CC21" i="10"/>
  <c r="CC23" i="10" l="1"/>
  <c r="L30" i="24"/>
  <c r="L62" i="24"/>
  <c r="L51" i="24"/>
  <c r="K59" i="24"/>
  <c r="K60" i="24" s="1"/>
  <c r="K61" i="24" s="1"/>
  <c r="K53" i="24"/>
  <c r="J33" i="24"/>
  <c r="J63" i="24" l="1"/>
  <c r="J64" i="24" s="1"/>
  <c r="J67" i="24" s="1"/>
  <c r="J34" i="24"/>
  <c r="J83" i="24"/>
  <c r="J85" i="24" s="1"/>
  <c r="L53" i="24"/>
  <c r="L59" i="24"/>
  <c r="L60" i="24" s="1"/>
  <c r="L61" i="24" s="1"/>
  <c r="M50" i="24"/>
  <c r="J35" i="24"/>
  <c r="J54" i="24" s="1"/>
  <c r="J55" i="24" s="1"/>
  <c r="CD22" i="10"/>
  <c r="CD20" i="10" s="1"/>
  <c r="CD19" i="10"/>
  <c r="CD21" i="10"/>
  <c r="M51" i="24" l="1"/>
  <c r="M62" i="24"/>
  <c r="CD23" i="10"/>
  <c r="K33" i="24"/>
  <c r="K34" i="24" s="1"/>
  <c r="M30" i="24"/>
  <c r="N50" i="24" s="1"/>
  <c r="L33" i="24" l="1"/>
  <c r="L34" i="24" s="1"/>
  <c r="N30" i="24"/>
  <c r="N62" i="24"/>
  <c r="N51" i="24"/>
  <c r="K63" i="24"/>
  <c r="K64" i="24" s="1"/>
  <c r="K67" i="24" s="1"/>
  <c r="K83" i="24"/>
  <c r="K85" i="24" s="1"/>
  <c r="K35" i="24"/>
  <c r="K54" i="24" s="1"/>
  <c r="K55" i="24" s="1"/>
  <c r="CE22" i="10"/>
  <c r="CE20" i="10" s="1"/>
  <c r="CE19" i="10"/>
  <c r="CE21" i="10"/>
  <c r="M53" i="24"/>
  <c r="M59" i="24"/>
  <c r="M60" i="24" s="1"/>
  <c r="M61" i="24" s="1"/>
  <c r="M33" i="24" l="1"/>
  <c r="M34" i="24" s="1"/>
  <c r="N53" i="24"/>
  <c r="N59" i="24"/>
  <c r="N60" i="24" s="1"/>
  <c r="N61" i="24" s="1"/>
  <c r="O50" i="24"/>
  <c r="CE23" i="10"/>
  <c r="L63" i="24"/>
  <c r="L64" i="24" s="1"/>
  <c r="L67" i="24" s="1"/>
  <c r="L83" i="24"/>
  <c r="L85" i="24" s="1"/>
  <c r="L35" i="24"/>
  <c r="L54" i="24" s="1"/>
  <c r="L55" i="24" s="1"/>
  <c r="M35" i="24" l="1"/>
  <c r="M54" i="24" s="1"/>
  <c r="M55" i="24" s="1"/>
  <c r="O51" i="24"/>
  <c r="O62" i="24"/>
  <c r="N33" i="24"/>
  <c r="CF21" i="10"/>
  <c r="CF22" i="10"/>
  <c r="CF19" i="10"/>
  <c r="O30" i="24"/>
  <c r="M63" i="24"/>
  <c r="M64" i="24" s="1"/>
  <c r="M67" i="24" s="1"/>
  <c r="M72" i="24" s="1"/>
  <c r="M73" i="24" s="1"/>
  <c r="M75" i="24" s="1"/>
  <c r="M83" i="24"/>
  <c r="M85" i="24" s="1"/>
  <c r="CF20" i="10" l="1"/>
  <c r="CF23" i="10" s="1"/>
  <c r="P50" i="24"/>
  <c r="P30" i="24" s="1"/>
  <c r="Q50" i="24" s="1"/>
  <c r="N34" i="24"/>
  <c r="N63" i="24"/>
  <c r="N64" i="24" s="1"/>
  <c r="N67" i="24" s="1"/>
  <c r="N72" i="24" s="1"/>
  <c r="N73" i="24" s="1"/>
  <c r="N75" i="24" s="1"/>
  <c r="N83" i="24"/>
  <c r="N85" i="24" s="1"/>
  <c r="N35" i="24"/>
  <c r="N54" i="24" s="1"/>
  <c r="N55" i="24" s="1"/>
  <c r="O53" i="24"/>
  <c r="O59" i="24"/>
  <c r="O60" i="24" s="1"/>
  <c r="O61" i="24" s="1"/>
  <c r="O33" i="24" l="1"/>
  <c r="O35" i="24" s="1"/>
  <c r="O54" i="24" s="1"/>
  <c r="O55" i="24" s="1"/>
  <c r="Q30" i="24"/>
  <c r="R50" i="24" s="1"/>
  <c r="Q51" i="24"/>
  <c r="Q62" i="24"/>
  <c r="CG21" i="10"/>
  <c r="CG22" i="10"/>
  <c r="CG20" i="10" s="1"/>
  <c r="H35" i="10" s="1"/>
  <c r="CG19" i="10"/>
  <c r="P62" i="24"/>
  <c r="P51" i="24"/>
  <c r="O34" i="24" l="1"/>
  <c r="O83" i="24"/>
  <c r="O85" i="24" s="1"/>
  <c r="O63" i="24"/>
  <c r="O64" i="24" s="1"/>
  <c r="O67" i="24" s="1"/>
  <c r="O72" i="24" s="1"/>
  <c r="O73" i="24" s="1"/>
  <c r="O75" i="24" s="1"/>
  <c r="J63" i="22"/>
  <c r="J66" i="22" s="1"/>
  <c r="J69" i="24"/>
  <c r="J72" i="24" s="1"/>
  <c r="J73" i="24" s="1"/>
  <c r="J75" i="24" s="1"/>
  <c r="J77" i="24" s="1"/>
  <c r="K76" i="24" s="1"/>
  <c r="H36" i="10"/>
  <c r="CG23" i="10"/>
  <c r="P53" i="24"/>
  <c r="P59" i="24"/>
  <c r="P60" i="24" s="1"/>
  <c r="P61" i="24" s="1"/>
  <c r="Q53" i="24"/>
  <c r="Q59" i="24"/>
  <c r="Q60" i="24" s="1"/>
  <c r="Q61" i="24" s="1"/>
  <c r="R30" i="24"/>
  <c r="R51" i="24"/>
  <c r="R62" i="24"/>
  <c r="S50" i="24" l="1"/>
  <c r="S30" i="24" s="1"/>
  <c r="T50" i="24" s="1"/>
  <c r="CH22" i="10"/>
  <c r="CH19" i="10"/>
  <c r="CH21" i="10"/>
  <c r="P33" i="24"/>
  <c r="P35" i="24" s="1"/>
  <c r="P54" i="24" s="1"/>
  <c r="P55" i="24" s="1"/>
  <c r="R53" i="24"/>
  <c r="R59" i="24"/>
  <c r="R60" i="24" s="1"/>
  <c r="R61" i="24" s="1"/>
  <c r="J67" i="22"/>
  <c r="J69" i="22" s="1"/>
  <c r="J71" i="22" s="1"/>
  <c r="K70" i="22" s="1"/>
  <c r="T30" i="24" l="1"/>
  <c r="T51" i="24"/>
  <c r="T62" i="24"/>
  <c r="P63" i="24"/>
  <c r="P64" i="24" s="1"/>
  <c r="P67" i="24" s="1"/>
  <c r="P72" i="24" s="1"/>
  <c r="P73" i="24" s="1"/>
  <c r="P75" i="24" s="1"/>
  <c r="P83" i="24"/>
  <c r="P85" i="24" s="1"/>
  <c r="P34" i="24"/>
  <c r="Q33" i="24" s="1"/>
  <c r="CH20" i="10"/>
  <c r="S51" i="24"/>
  <c r="S62" i="24"/>
  <c r="T53" i="24" l="1"/>
  <c r="T59" i="24"/>
  <c r="T60" i="24" s="1"/>
  <c r="T61" i="24" s="1"/>
  <c r="U50" i="24"/>
  <c r="Q34" i="24"/>
  <c r="Q63" i="24"/>
  <c r="Q64" i="24" s="1"/>
  <c r="Q67" i="24" s="1"/>
  <c r="Q72" i="24" s="1"/>
  <c r="Q73" i="24" s="1"/>
  <c r="Q75" i="24" s="1"/>
  <c r="Q83" i="24"/>
  <c r="Q85" i="24" s="1"/>
  <c r="Q35" i="24"/>
  <c r="Q54" i="24" s="1"/>
  <c r="Q55" i="24" s="1"/>
  <c r="CH23" i="10"/>
  <c r="S59" i="24"/>
  <c r="S60" i="24" s="1"/>
  <c r="S61" i="24" s="1"/>
  <c r="S53" i="24"/>
  <c r="CI21" i="10" l="1"/>
  <c r="CI22" i="10"/>
  <c r="CI19" i="10"/>
  <c r="U51" i="24"/>
  <c r="U62" i="24"/>
  <c r="R33" i="24"/>
  <c r="R34" i="24" s="1"/>
  <c r="U30" i="24"/>
  <c r="CI20" i="10" l="1"/>
  <c r="S33" i="24"/>
  <c r="S34" i="24" s="1"/>
  <c r="T33" i="24" s="1"/>
  <c r="V50" i="24"/>
  <c r="V30" i="24" s="1"/>
  <c r="U53" i="24"/>
  <c r="U59" i="24"/>
  <c r="U60" i="24" s="1"/>
  <c r="U61" i="24" s="1"/>
  <c r="R63" i="24"/>
  <c r="R64" i="24" s="1"/>
  <c r="R67" i="24" s="1"/>
  <c r="R72" i="24" s="1"/>
  <c r="R73" i="24" s="1"/>
  <c r="R75" i="24" s="1"/>
  <c r="R83" i="24"/>
  <c r="R85" i="24" s="1"/>
  <c r="R35" i="24"/>
  <c r="R54" i="24" s="1"/>
  <c r="R55" i="24" s="1"/>
  <c r="CI23" i="10"/>
  <c r="CJ21" i="10" l="1"/>
  <c r="CJ19" i="10"/>
  <c r="CJ22" i="10"/>
  <c r="CJ20" i="10" s="1"/>
  <c r="W50" i="24"/>
  <c r="W30" i="24" s="1"/>
  <c r="X50" i="24" s="1"/>
  <c r="T34" i="24"/>
  <c r="U33" i="24" s="1"/>
  <c r="T63" i="24"/>
  <c r="T64" i="24" s="1"/>
  <c r="T67" i="24" s="1"/>
  <c r="T72" i="24" s="1"/>
  <c r="T73" i="24" s="1"/>
  <c r="T75" i="24" s="1"/>
  <c r="T83" i="24"/>
  <c r="T85" i="24" s="1"/>
  <c r="T35" i="24"/>
  <c r="T54" i="24" s="1"/>
  <c r="T55" i="24" s="1"/>
  <c r="V51" i="24"/>
  <c r="V62" i="24"/>
  <c r="S63" i="24"/>
  <c r="S64" i="24" s="1"/>
  <c r="S67" i="24" s="1"/>
  <c r="S72" i="24" s="1"/>
  <c r="S73" i="24" s="1"/>
  <c r="S75" i="24" s="1"/>
  <c r="S83" i="24"/>
  <c r="S85" i="24" s="1"/>
  <c r="S35" i="24"/>
  <c r="S54" i="24" s="1"/>
  <c r="S55" i="24" s="1"/>
  <c r="CJ23" i="10" l="1"/>
  <c r="X30" i="24"/>
  <c r="Y50" i="24" s="1"/>
  <c r="X51" i="24"/>
  <c r="X62" i="24"/>
  <c r="U34" i="24"/>
  <c r="U63" i="24"/>
  <c r="U64" i="24" s="1"/>
  <c r="U67" i="24" s="1"/>
  <c r="U72" i="24" s="1"/>
  <c r="U73" i="24" s="1"/>
  <c r="U75" i="24" s="1"/>
  <c r="U83" i="24"/>
  <c r="U85" i="24" s="1"/>
  <c r="V53" i="24"/>
  <c r="V59" i="24"/>
  <c r="V60" i="24" s="1"/>
  <c r="V61" i="24" s="1"/>
  <c r="U35" i="24"/>
  <c r="U54" i="24" s="1"/>
  <c r="U55" i="24" s="1"/>
  <c r="W62" i="24"/>
  <c r="W51" i="24"/>
  <c r="V33" i="24" l="1"/>
  <c r="V35" i="24" s="1"/>
  <c r="V54" i="24" s="1"/>
  <c r="V55" i="24" s="1"/>
  <c r="CK19" i="10"/>
  <c r="CK22" i="10"/>
  <c r="CK20" i="10" s="1"/>
  <c r="CK21" i="10"/>
  <c r="W59" i="24"/>
  <c r="W60" i="24" s="1"/>
  <c r="W61" i="24" s="1"/>
  <c r="W53" i="24"/>
  <c r="X53" i="24"/>
  <c r="X59" i="24"/>
  <c r="X60" i="24" s="1"/>
  <c r="X61" i="24" s="1"/>
  <c r="Y30" i="24"/>
  <c r="Y62" i="24"/>
  <c r="Y51" i="24"/>
  <c r="V34" i="24" l="1"/>
  <c r="W33" i="24" s="1"/>
  <c r="W63" i="24" s="1"/>
  <c r="W64" i="24" s="1"/>
  <c r="W67" i="24" s="1"/>
  <c r="W72" i="24" s="1"/>
  <c r="W73" i="24" s="1"/>
  <c r="W75" i="24" s="1"/>
  <c r="V83" i="24"/>
  <c r="V85" i="24" s="1"/>
  <c r="V63" i="24"/>
  <c r="V64" i="24" s="1"/>
  <c r="V67" i="24" s="1"/>
  <c r="V72" i="24" s="1"/>
  <c r="V73" i="24" s="1"/>
  <c r="V75" i="24" s="1"/>
  <c r="CK23" i="10"/>
  <c r="Y53" i="24"/>
  <c r="Y59" i="24"/>
  <c r="Y60" i="24" s="1"/>
  <c r="Y61" i="24" s="1"/>
  <c r="Z50" i="24"/>
  <c r="W34" i="24" l="1"/>
  <c r="X33" i="24" s="1"/>
  <c r="X83" i="24" s="1"/>
  <c r="X85" i="24" s="1"/>
  <c r="W83" i="24"/>
  <c r="W85" i="24" s="1"/>
  <c r="W35" i="24"/>
  <c r="W54" i="24" s="1"/>
  <c r="W55" i="24" s="1"/>
  <c r="CL21" i="10"/>
  <c r="CL19" i="10"/>
  <c r="CL22" i="10"/>
  <c r="CL20" i="10" s="1"/>
  <c r="Z62" i="24"/>
  <c r="Z51" i="24"/>
  <c r="Z30" i="24"/>
  <c r="X34" i="24" l="1"/>
  <c r="Y33" i="24" s="1"/>
  <c r="Y63" i="24" s="1"/>
  <c r="Y64" i="24" s="1"/>
  <c r="Y67" i="24" s="1"/>
  <c r="Y72" i="24" s="1"/>
  <c r="X35" i="24"/>
  <c r="X54" i="24" s="1"/>
  <c r="X55" i="24" s="1"/>
  <c r="X63" i="24"/>
  <c r="X64" i="24" s="1"/>
  <c r="X67" i="24" s="1"/>
  <c r="X72" i="24" s="1"/>
  <c r="X73" i="24" s="1"/>
  <c r="X75" i="24" s="1"/>
  <c r="CL23" i="10"/>
  <c r="AA50" i="24"/>
  <c r="AA30" i="24" s="1"/>
  <c r="Z59" i="24"/>
  <c r="Z60" i="24" s="1"/>
  <c r="Z61" i="24" s="1"/>
  <c r="Z53" i="24"/>
  <c r="Y35" i="24" l="1"/>
  <c r="Y54" i="24" s="1"/>
  <c r="Y55" i="24" s="1"/>
  <c r="Y83" i="24"/>
  <c r="Y85" i="24" s="1"/>
  <c r="Y34" i="24"/>
  <c r="CM21" i="10"/>
  <c r="I34" i="10" s="1"/>
  <c r="CM22" i="10"/>
  <c r="CM19" i="10"/>
  <c r="AB50" i="24"/>
  <c r="AB30" i="24" s="1"/>
  <c r="Z33" i="24"/>
  <c r="Z35" i="24" s="1"/>
  <c r="Z54" i="24" s="1"/>
  <c r="Z55" i="24" s="1"/>
  <c r="AA62" i="24"/>
  <c r="AA51" i="24"/>
  <c r="Y73" i="24"/>
  <c r="Y75" i="24" s="1"/>
  <c r="Z34" i="24" l="1"/>
  <c r="CM20" i="10"/>
  <c r="CM23" i="10" s="1"/>
  <c r="K64" i="22"/>
  <c r="K65" i="22" s="1"/>
  <c r="K70" i="24"/>
  <c r="K71" i="24" s="1"/>
  <c r="AA59" i="24"/>
  <c r="AA60" i="24" s="1"/>
  <c r="AA61" i="24" s="1"/>
  <c r="AA53" i="24"/>
  <c r="AC50" i="24"/>
  <c r="Z63" i="24"/>
  <c r="Z64" i="24" s="1"/>
  <c r="Z67" i="24" s="1"/>
  <c r="Z72" i="24" s="1"/>
  <c r="Z83" i="24"/>
  <c r="Z85" i="24" s="1"/>
  <c r="AB51" i="24"/>
  <c r="AB62" i="24"/>
  <c r="CN21" i="10" l="1"/>
  <c r="CN22" i="10"/>
  <c r="CN20" i="10" s="1"/>
  <c r="CN19" i="10"/>
  <c r="AB53" i="24"/>
  <c r="AB59" i="24"/>
  <c r="AB60" i="24" s="1"/>
  <c r="AB61" i="24" s="1"/>
  <c r="AC51" i="24"/>
  <c r="AC62" i="24"/>
  <c r="Z73" i="24"/>
  <c r="Z75" i="24" s="1"/>
  <c r="AC30" i="24"/>
  <c r="AA33" i="24"/>
  <c r="AA35" i="24" s="1"/>
  <c r="AA54" i="24" s="1"/>
  <c r="AA55" i="24" s="1"/>
  <c r="CN23" i="10" l="1"/>
  <c r="AD50" i="24"/>
  <c r="AD30" i="24" s="1"/>
  <c r="AE50" i="24" s="1"/>
  <c r="AA63" i="24"/>
  <c r="AA64" i="24" s="1"/>
  <c r="AA67" i="24" s="1"/>
  <c r="AA72" i="24" s="1"/>
  <c r="AA83" i="24"/>
  <c r="AA85" i="24" s="1"/>
  <c r="AA34" i="24"/>
  <c r="AB33" i="24" s="1"/>
  <c r="AB35" i="24" s="1"/>
  <c r="AB54" i="24" s="1"/>
  <c r="AB55" i="24" s="1"/>
  <c r="AC59" i="24"/>
  <c r="AC60" i="24" s="1"/>
  <c r="AC61" i="24" s="1"/>
  <c r="AC53" i="24"/>
  <c r="CO22" i="10" l="1"/>
  <c r="CO19" i="10"/>
  <c r="CO21" i="10"/>
  <c r="AE30" i="24"/>
  <c r="AE51" i="24"/>
  <c r="AE62" i="24"/>
  <c r="AB34" i="24"/>
  <c r="AA73" i="24"/>
  <c r="AA75" i="24" s="1"/>
  <c r="AB63" i="24"/>
  <c r="AB64" i="24" s="1"/>
  <c r="AB67" i="24" s="1"/>
  <c r="AB72" i="24" s="1"/>
  <c r="AB73" i="24" s="1"/>
  <c r="AB75" i="24" s="1"/>
  <c r="AB83" i="24"/>
  <c r="AB85" i="24" s="1"/>
  <c r="AC33" i="24"/>
  <c r="AC35" i="24" s="1"/>
  <c r="AC54" i="24" s="1"/>
  <c r="AC55" i="24" s="1"/>
  <c r="AD62" i="24"/>
  <c r="AD51" i="24"/>
  <c r="CO20" i="10" l="1"/>
  <c r="CO23" i="10" s="1"/>
  <c r="AC34" i="24"/>
  <c r="AE59" i="24"/>
  <c r="AE60" i="24" s="1"/>
  <c r="AE61" i="24" s="1"/>
  <c r="AE53" i="24"/>
  <c r="AC63" i="24"/>
  <c r="AC64" i="24" s="1"/>
  <c r="AC67" i="24" s="1"/>
  <c r="AC72" i="24" s="1"/>
  <c r="AC83" i="24"/>
  <c r="AC85" i="24" s="1"/>
  <c r="AD53" i="24"/>
  <c r="AD59" i="24"/>
  <c r="AD60" i="24" s="1"/>
  <c r="AD61" i="24" s="1"/>
  <c r="AF50" i="24"/>
  <c r="AF30" i="24" s="1"/>
  <c r="CP21" i="10" l="1"/>
  <c r="CP22" i="10"/>
  <c r="CP20" i="10" s="1"/>
  <c r="CP19" i="10"/>
  <c r="AG50" i="24"/>
  <c r="AG30" i="24" s="1"/>
  <c r="AD33" i="24"/>
  <c r="AD35" i="24" s="1"/>
  <c r="AD54" i="24" s="1"/>
  <c r="AD55" i="24" s="1"/>
  <c r="AC73" i="24"/>
  <c r="AC75" i="24" s="1"/>
  <c r="AF62" i="24"/>
  <c r="AF51" i="24"/>
  <c r="CP23" i="10" l="1"/>
  <c r="CQ21" i="10" s="1"/>
  <c r="AD34" i="24"/>
  <c r="AE33" i="24" s="1"/>
  <c r="AE34" i="24" s="1"/>
  <c r="CQ22" i="10"/>
  <c r="CQ19" i="10"/>
  <c r="AD63" i="24"/>
  <c r="AD64" i="24" s="1"/>
  <c r="AD67" i="24" s="1"/>
  <c r="AD72" i="24" s="1"/>
  <c r="AD83" i="24"/>
  <c r="AD85" i="24" s="1"/>
  <c r="AF59" i="24"/>
  <c r="AF60" i="24" s="1"/>
  <c r="AF61" i="24" s="1"/>
  <c r="AF53" i="24"/>
  <c r="AG51" i="24"/>
  <c r="AG62" i="24"/>
  <c r="CQ20" i="10" l="1"/>
  <c r="AE35" i="24"/>
  <c r="AE54" i="24" s="1"/>
  <c r="AE55" i="24" s="1"/>
  <c r="AE83" i="24"/>
  <c r="AE85" i="24" s="1"/>
  <c r="AE63" i="24"/>
  <c r="AE64" i="24" s="1"/>
  <c r="AE67" i="24" s="1"/>
  <c r="AE72" i="24" s="1"/>
  <c r="AE73" i="24" s="1"/>
  <c r="AE75" i="24" s="1"/>
  <c r="CQ23" i="10"/>
  <c r="AF33" i="24"/>
  <c r="AF35" i="24" s="1"/>
  <c r="AF54" i="24" s="1"/>
  <c r="AF55" i="24" s="1"/>
  <c r="AG53" i="24"/>
  <c r="AG59" i="24"/>
  <c r="AG60" i="24" s="1"/>
  <c r="AG61" i="24" s="1"/>
  <c r="AD73" i="24"/>
  <c r="AD75" i="24" s="1"/>
  <c r="AF34" i="24" l="1"/>
  <c r="AG33" i="24" s="1"/>
  <c r="AG35" i="24" s="1"/>
  <c r="AG54" i="24" s="1"/>
  <c r="AG55" i="24" s="1"/>
  <c r="CR21" i="10"/>
  <c r="CR22" i="10"/>
  <c r="CR20" i="10" s="1"/>
  <c r="CR19" i="10"/>
  <c r="AF63" i="24"/>
  <c r="AF64" i="24" s="1"/>
  <c r="AF67" i="24" s="1"/>
  <c r="AF72" i="24" s="1"/>
  <c r="AF73" i="24" s="1"/>
  <c r="AF75" i="24" s="1"/>
  <c r="AF83" i="24"/>
  <c r="AF85" i="24" s="1"/>
  <c r="CR23" i="10" l="1"/>
  <c r="AG34" i="24"/>
  <c r="AG63" i="24"/>
  <c r="AG64" i="24" s="1"/>
  <c r="AG67" i="24" s="1"/>
  <c r="AG83" i="24"/>
  <c r="AG85" i="24" s="1"/>
  <c r="C86" i="24" s="1"/>
  <c r="C88" i="24" s="1"/>
  <c r="H22" i="24" s="1"/>
  <c r="AG72" i="24" l="1"/>
  <c r="AG73" i="24" s="1"/>
  <c r="AG75" i="24" s="1"/>
  <c r="H17" i="24"/>
  <c r="H18" i="24"/>
  <c r="CS21" i="10"/>
  <c r="J34" i="10" s="1"/>
  <c r="CS19" i="10"/>
  <c r="CS22" i="10"/>
  <c r="CS20" i="10" s="1"/>
  <c r="I35" i="10" s="1"/>
  <c r="L12" i="24" l="1"/>
  <c r="O17" i="24"/>
  <c r="I36" i="10"/>
  <c r="K69" i="24"/>
  <c r="K72" i="24" s="1"/>
  <c r="K63" i="22"/>
  <c r="K66" i="22" s="1"/>
  <c r="K67" i="22" s="1"/>
  <c r="K69" i="22" s="1"/>
  <c r="K71" i="22" s="1"/>
  <c r="L70" i="22" s="1"/>
  <c r="CS23" i="10"/>
  <c r="J36" i="10"/>
  <c r="L70" i="24"/>
  <c r="L71" i="24" s="1"/>
  <c r="L72" i="24" s="1"/>
  <c r="L73" i="24" s="1"/>
  <c r="L75" i="24" s="1"/>
  <c r="L64" i="22"/>
  <c r="L65" i="22" s="1"/>
  <c r="L66" i="22" s="1"/>
  <c r="L67" i="22" s="1"/>
  <c r="L69" i="22" s="1"/>
  <c r="K73" i="24" l="1"/>
  <c r="K75" i="24" s="1"/>
  <c r="K77" i="24" s="1"/>
  <c r="L76" i="24" s="1"/>
  <c r="L77" i="24" s="1"/>
  <c r="M76" i="24" s="1"/>
  <c r="M77" i="24" s="1"/>
  <c r="N76" i="24" s="1"/>
  <c r="N77" i="24" s="1"/>
  <c r="O76" i="24" s="1"/>
  <c r="O77" i="24" s="1"/>
  <c r="P76" i="24" s="1"/>
  <c r="P77" i="24" s="1"/>
  <c r="Q76" i="24" s="1"/>
  <c r="Q77" i="24" s="1"/>
  <c r="R76" i="24" s="1"/>
  <c r="R77" i="24" s="1"/>
  <c r="S76" i="24" s="1"/>
  <c r="S77" i="24" s="1"/>
  <c r="T76" i="24" s="1"/>
  <c r="T77" i="24" s="1"/>
  <c r="U76" i="24" s="1"/>
  <c r="U77" i="24" s="1"/>
  <c r="V76" i="24" s="1"/>
  <c r="V77" i="24" s="1"/>
  <c r="W76" i="24" s="1"/>
  <c r="W77" i="24" s="1"/>
  <c r="X76" i="24" s="1"/>
  <c r="X77" i="24" s="1"/>
  <c r="Y76" i="24" s="1"/>
  <c r="Y77" i="24" s="1"/>
  <c r="Z76" i="24" s="1"/>
  <c r="Z77" i="24" s="1"/>
  <c r="AA76" i="24" s="1"/>
  <c r="AA77" i="24" s="1"/>
  <c r="AB76" i="24" s="1"/>
  <c r="AB77" i="24" s="1"/>
  <c r="AC76" i="24" s="1"/>
  <c r="AC77" i="24" s="1"/>
  <c r="AD76" i="24" s="1"/>
  <c r="AD77" i="24" s="1"/>
  <c r="AE76" i="24" s="1"/>
  <c r="AE77" i="24" s="1"/>
  <c r="AF76" i="24" s="1"/>
  <c r="AF77" i="24" s="1"/>
  <c r="AG76" i="24" s="1"/>
  <c r="AG77" i="24" s="1"/>
  <c r="H19" i="24"/>
  <c r="H20" i="24"/>
  <c r="H19" i="22"/>
  <c r="L71" i="22"/>
  <c r="M70" i="22" s="1"/>
  <c r="M71" i="22" s="1"/>
  <c r="N70" i="22" s="1"/>
  <c r="N71" i="22" s="1"/>
  <c r="O70" i="22" s="1"/>
  <c r="O71" i="22" s="1"/>
  <c r="P70" i="22" s="1"/>
  <c r="P71" i="22" s="1"/>
  <c r="Q70" i="22" s="1"/>
  <c r="Q71" i="22" s="1"/>
  <c r="R70" i="22" s="1"/>
  <c r="R71" i="22" s="1"/>
  <c r="S70" i="22" s="1"/>
  <c r="S71" i="22" s="1"/>
  <c r="T70" i="22" s="1"/>
  <c r="T71" i="22" s="1"/>
  <c r="U70" i="22" s="1"/>
  <c r="U71" i="22" s="1"/>
  <c r="V70" i="22" s="1"/>
  <c r="V71" i="22" s="1"/>
  <c r="W70" i="22" s="1"/>
  <c r="W71" i="22" s="1"/>
  <c r="X70" i="22" s="1"/>
  <c r="X71" i="22" s="1"/>
  <c r="Y70" i="22" s="1"/>
  <c r="Y71" i="22" s="1"/>
  <c r="Z70" i="22" s="1"/>
  <c r="Z71" i="22" s="1"/>
  <c r="AA70" i="22" s="1"/>
  <c r="AA71" i="22" s="1"/>
  <c r="AB70" i="22" s="1"/>
  <c r="AB71" i="22" s="1"/>
  <c r="AC70" i="22" s="1"/>
  <c r="AC71" i="22" s="1"/>
  <c r="AD70" i="22" s="1"/>
  <c r="AD71" i="22" s="1"/>
  <c r="AE70" i="22" s="1"/>
  <c r="AE71" i="22" s="1"/>
  <c r="AF70" i="22" s="1"/>
  <c r="AF71" i="22" s="1"/>
  <c r="AG70" i="22" s="1"/>
  <c r="AG71" i="22" s="1"/>
  <c r="H2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tc={FACD8B2C-8016-D842-8682-DE64724C38C8}</author>
    <author>tc={EFF84087-4810-6442-BC2C-148A3FC505FC}</author>
    <author>tc={95591962-CC53-3A47-98AA-A078FD02BFD4}</author>
    <author>tc={D17E54F6-BD51-164B-93FE-DF9C015EC2CA}</author>
    <author>tc={449101BB-30D3-EB42-A54A-B740420BFD53}</author>
    <author>tc={DC15C1B8-3B17-884E-96EF-FF35AC7B7BA9}</author>
    <author>tc={D35C6941-71FB-0345-A93E-602C805D1CA0}</author>
    <author>tc={1FC4220E-67B8-2041-9923-2440867134CA}</author>
    <author>tc={AC78195E-00C7-094B-8A33-55A87AA74BB2}</author>
  </authors>
  <commentList>
    <comment ref="H5" authorId="0" shapeId="0" xr:uid="{FACD8B2C-8016-D842-8682-DE64724C38C8}">
      <text>
        <t xml:space="preserve">[Threaded comment]
Your version of Excel allows you to read this threaded comment; however, any edits to it will get removed if the file is opened in a newer version of Excel. Learn more: https://go.microsoft.com/fwlink/?linkid=870924
Comment:
    Perdida anual de la generación de energía
</t>
      </text>
    </comment>
    <comment ref="D6" authorId="1" shapeId="0" xr:uid="{EFF84087-4810-6442-BC2C-148A3FC505FC}">
      <text>
        <t>[Threaded comment]
Your version of Excel allows you to read this threaded comment; however, any edits to it will get removed if the file is opened in a newer version of Excel. Learn more: https://go.microsoft.com/fwlink/?linkid=870924
Comment:
    Simulación con probabilidad por encima del 90%</t>
      </text>
    </comment>
    <comment ref="L7" authorId="2" shapeId="0" xr:uid="{95591962-CC53-3A47-98AA-A078FD02BFD4}">
      <text>
        <t>[Threaded comment]
Your version of Excel allows you to read this threaded comment; however, any edits to it will get removed if the file is opened in a newer version of Excel. Learn more: https://go.microsoft.com/fwlink/?linkid=870924
Comment:
    Incluye Mantenimiento, seguridad, supervisión y administración de la SPV.</t>
      </text>
    </comment>
    <comment ref="L10" authorId="3" shapeId="0" xr:uid="{D17E54F6-BD51-164B-93FE-DF9C015EC2CA}">
      <text>
        <t xml:space="preserve">[Threaded comment]
Your version of Excel allows you to read this threaded comment; however, any edits to it will get removed if the file is opened in a newer version of Excel. Learn more: https://go.microsoft.com/fwlink/?linkid=870924
Comment:
    Arrendamiento + IVA
</t>
      </text>
    </comment>
    <comment ref="D11" authorId="4" shapeId="0" xr:uid="{449101BB-30D3-EB42-A54A-B740420BFD53}">
      <text>
        <t>[Threaded comment]
Your version of Excel allows you to read this threaded comment; however, any edits to it will get removed if the file is opened in a newer version of Excel. Learn more: https://go.microsoft.com/fwlink/?linkid=870924
Comment:
    Incluye Mantenimiento, seguridad, supervisión y administración de la SPV.</t>
      </text>
    </comment>
    <comment ref="D13" authorId="5" shapeId="0" xr:uid="{DC15C1B8-3B17-884E-96EF-FF35AC7B7BA9}">
      <text>
        <t xml:space="preserve">[Threaded comment]
Your version of Excel allows you to read this threaded comment; however, any edits to it will get removed if the file is opened in a newer version of Excel. Learn more: https://go.microsoft.com/fwlink/?linkid=870924
Comment:
    Arrendamiento + IVA
</t>
      </text>
    </comment>
    <comment ref="H14" authorId="6" shapeId="0" xr:uid="{D35C6941-71FB-0345-A93E-602C805D1CA0}">
      <text>
        <t>[Threaded comment]
Your version of Excel allows you to read this threaded comment; however, any edits to it will get removed if the file is opened in a newer version of Excel. Learn more: https://go.microsoft.com/fwlink/?linkid=870924
Comment:
    Para el cálculo del LCOE</t>
      </text>
    </comment>
    <comment ref="D51" authorId="7" shapeId="0" xr:uid="{1FC4220E-67B8-2041-9923-2440867134CA}">
      <text>
        <t>[Threaded comment]
Your version of Excel allows you to read this threaded comment; however, any edits to it will get removed if the file is opened in a newer version of Excel. Learn more: https://go.microsoft.com/fwlink/?linkid=870924
Comment:
    Se utiliza los beneficios tributarios para reducir al máximo la base gravable. Los beneficios reales estarán en el flujo de caja libre.</t>
      </text>
    </comment>
    <comment ref="D63" authorId="8" shapeId="0" xr:uid="{AC78195E-00C7-094B-8A33-55A87AA74BB2}">
      <text>
        <t xml:space="preserve">[Threaded comment]
Your version of Excel allows you to read this threaded comment; however, any edits to it will get removed if the file is opened in a newer version of Excel. Learn more: https://go.microsoft.com/fwlink/?linkid=870924
Comment:
    Le sumo el beneficio neto de renta para Energía Renovable porque los impuestos operacionales no lo tuvieron en cuenta al restar.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tc={2761CF29-2195-479B-9ECD-2F42DE4699F2}</author>
    <author>tc={FF294B39-4226-4C20-86E1-5AB5DFD077E1}</author>
    <author>tc={45CBC439-4458-4024-A9E6-F6D902DDCB16}</author>
    <author>tc={8C3AF9DC-FEF1-4D6A-9CED-B142101BA907}</author>
    <author>tc={D46C4C4E-9780-4FBD-8E28-D8247748E750}</author>
    <author>tc={DFC5DBAE-E93B-46F0-B78F-F540E65C135A}</author>
    <author>tc={BB289CA0-A667-4C7A-B731-341D4A7D3C7A}</author>
    <author>tc={234C2A3D-C773-4CBB-B6E5-6D7F65669471}</author>
    <author>tc={9EEB7BAB-DDD8-456A-866E-B88E6DE02C76}</author>
    <author>tc={BEBD9C12-2354-4108-8BE3-CB58019635D5}</author>
  </authors>
  <commentList>
    <comment ref="H5" authorId="0" shapeId="0" xr:uid="{2761CF29-2195-479B-9ECD-2F42DE4699F2}">
      <text>
        <t xml:space="preserve">[Threaded comment]
Your version of Excel allows you to read this threaded comment; however, any edits to it will get removed if the file is opened in a newer version of Excel. Learn more: https://go.microsoft.com/fwlink/?linkid=870924
Comment:
    Perdida anual de la generación de energía
</t>
      </text>
    </comment>
    <comment ref="D6" authorId="1" shapeId="0" xr:uid="{FF294B39-4226-4C20-86E1-5AB5DFD077E1}">
      <text>
        <t>[Threaded comment]
Your version of Excel allows you to read this threaded comment; however, any edits to it will get removed if the file is opened in a newer version of Excel. Learn more: https://go.microsoft.com/fwlink/?linkid=870924
Comment:
    Simulación con probabilidad por encima del 90%</t>
      </text>
    </comment>
    <comment ref="L7" authorId="2" shapeId="0" xr:uid="{45CBC439-4458-4024-A9E6-F6D902DDCB16}">
      <text>
        <t>[Threaded comment]
Your version of Excel allows you to read this threaded comment; however, any edits to it will get removed if the file is opened in a newer version of Excel. Learn more: https://go.microsoft.com/fwlink/?linkid=870924
Comment:
    Incluye Mantenimiento, seguridad, supervisión y administración de la SPV.</t>
      </text>
    </comment>
    <comment ref="L10" authorId="3" shapeId="0" xr:uid="{8C3AF9DC-FEF1-4D6A-9CED-B142101BA907}">
      <text>
        <t xml:space="preserve">[Threaded comment]
Your version of Excel allows you to read this threaded comment; however, any edits to it will get removed if the file is opened in a newer version of Excel. Learn more: https://go.microsoft.com/fwlink/?linkid=870924
Comment:
    Arrendamiento + IVA
</t>
      </text>
    </comment>
    <comment ref="D11" authorId="4" shapeId="0" xr:uid="{D46C4C4E-9780-4FBD-8E28-D8247748E750}">
      <text>
        <t>[Threaded comment]
Your version of Excel allows you to read this threaded comment; however, any edits to it will get removed if the file is opened in a newer version of Excel. Learn more: https://go.microsoft.com/fwlink/?linkid=870924
Comment:
    Incluye Mantenimiento, seguridad, supervisión y administración de la SPV.</t>
      </text>
    </comment>
    <comment ref="D13" authorId="5" shapeId="0" xr:uid="{DFC5DBAE-E93B-46F0-B78F-F540E65C135A}">
      <text>
        <t xml:space="preserve">[Threaded comment]
Your version of Excel allows you to read this threaded comment; however, any edits to it will get removed if the file is opened in a newer version of Excel. Learn more: https://go.microsoft.com/fwlink/?linkid=870924
Comment:
    Arrendamiento + IVA
</t>
      </text>
    </comment>
    <comment ref="H14" authorId="6" shapeId="0" xr:uid="{BB289CA0-A667-4C7A-B731-341D4A7D3C7A}">
      <text>
        <t>[Threaded comment]
Your version of Excel allows you to read this threaded comment; however, any edits to it will get removed if the file is opened in a newer version of Excel. Learn more: https://go.microsoft.com/fwlink/?linkid=870924
Comment:
    Para el cálculo del LCOE</t>
      </text>
    </comment>
    <comment ref="D34" authorId="7" shapeId="0" xr:uid="{234C2A3D-C773-4CBB-B6E5-6D7F65669471}">
      <text>
        <t>[Threaded comment]
Your version of Excel allows you to read this threaded comment; however, any edits to it will get removed if the file is opened in a newer version of Excel. Learn more: https://go.microsoft.com/fwlink/?linkid=870924
Comment:
    Precio Bolsa + 0,5*Pérdidas</t>
      </text>
    </comment>
    <comment ref="F34" authorId="8" shapeId="0" xr:uid="{9EEB7BAB-DDD8-456A-866E-B88E6DE02C76}">
      <text>
        <t>[Threaded comment]
Your version of Excel allows you to read this threaded comment; however, any edits to it will get removed if the file is opened in a newer version of Excel. Learn more: https://go.microsoft.com/fwlink/?linkid=870924
Comment:
    El precio Base ofrecido por la comercializadora actualizado al IPC para el año en análisis.</t>
      </text>
    </comment>
    <comment ref="D57" authorId="9" shapeId="0" xr:uid="{BEBD9C12-2354-4108-8BE3-CB58019635D5}">
      <text>
        <t xml:space="preserve">[Threaded comment]
Your version of Excel allows you to read this threaded comment; however, any edits to it will get removed if the file is opened in a newer version of Excel. Learn more: https://go.microsoft.com/fwlink/?linkid=870924
Comment:
    Le sumo el beneficio neto de renta para Energía Renovable porque los impuestos operacionales no lo tuvieron en cuenta al restar. </t>
      </text>
    </comment>
  </commentList>
</comments>
</file>

<file path=xl/sharedStrings.xml><?xml version="1.0" encoding="utf-8"?>
<sst xmlns="http://schemas.openxmlformats.org/spreadsheetml/2006/main" count="1003" uniqueCount="340">
  <si>
    <t>Generación Distribuida Proyecto - Polaris</t>
  </si>
  <si>
    <t>Opción Proyecto Remolino (30 Años con el Proyecto)</t>
  </si>
  <si>
    <t>Datos del Proyecto</t>
  </si>
  <si>
    <t>Datos Generales</t>
  </si>
  <si>
    <t>Potencia Instalada</t>
  </si>
  <si>
    <t>kWp</t>
  </si>
  <si>
    <t>Perdida de eficiencia</t>
  </si>
  <si>
    <t>kWh</t>
  </si>
  <si>
    <t>Generación anual de energía (P90)</t>
  </si>
  <si>
    <t>kWh/año</t>
  </si>
  <si>
    <t>Año 1</t>
  </si>
  <si>
    <t>Año 2</t>
  </si>
  <si>
    <t>Año 3</t>
  </si>
  <si>
    <t>Año 4</t>
  </si>
  <si>
    <t>Año 5</t>
  </si>
  <si>
    <t>Año 6</t>
  </si>
  <si>
    <t>Flujo de Caja Inversión</t>
  </si>
  <si>
    <t>Activo sujeto de depreciación</t>
  </si>
  <si>
    <t>$</t>
  </si>
  <si>
    <t xml:space="preserve">CAPEX  </t>
  </si>
  <si>
    <t>Precio Energía (kWh)</t>
  </si>
  <si>
    <t>Flujo de Caja Libre</t>
  </si>
  <si>
    <t>Impuestos</t>
  </si>
  <si>
    <t>Generación Específica Anual (P90)</t>
  </si>
  <si>
    <t>kWh/kWp/año</t>
  </si>
  <si>
    <t>Bonos de Carbono</t>
  </si>
  <si>
    <t>$/año</t>
  </si>
  <si>
    <t>OPEX</t>
  </si>
  <si>
    <t>Venta Energía</t>
  </si>
  <si>
    <t>Gastos Administrativos</t>
  </si>
  <si>
    <t>CAPEX  (Con IVA)</t>
  </si>
  <si>
    <t>Eficiencia paneles 30A (Neo)</t>
  </si>
  <si>
    <t>%</t>
  </si>
  <si>
    <t xml:space="preserve">Costo de Operación y Venta </t>
  </si>
  <si>
    <t>Costos Operacionales</t>
  </si>
  <si>
    <t>Costo de la Tierra</t>
  </si>
  <si>
    <t>Depreciación</t>
  </si>
  <si>
    <t>IVA OPEX</t>
  </si>
  <si>
    <t>Gastos e Ingresos Administrativos</t>
  </si>
  <si>
    <t>Cuota de Crédito</t>
  </si>
  <si>
    <t>Costo kWp instalado</t>
  </si>
  <si>
    <t>$/kWp</t>
  </si>
  <si>
    <t>T. Impuesto Renta</t>
  </si>
  <si>
    <t>EBITDA</t>
  </si>
  <si>
    <t>Intereses y amortizaciones</t>
  </si>
  <si>
    <t xml:space="preserve">OPEX (sin IVA) </t>
  </si>
  <si>
    <t>Tasa ICA</t>
  </si>
  <si>
    <t>COP</t>
  </si>
  <si>
    <t>TRM</t>
  </si>
  <si>
    <t>Tasa Mínima de Tributación</t>
  </si>
  <si>
    <t>TIR del Proyecto a 30 años</t>
  </si>
  <si>
    <t>(-) Amortizaciones</t>
  </si>
  <si>
    <t>Arrendamiento tierra</t>
  </si>
  <si>
    <t>%/Ventas</t>
  </si>
  <si>
    <t>(-) Intereses</t>
  </si>
  <si>
    <t>Representación XM</t>
  </si>
  <si>
    <t>COP/kWh</t>
  </si>
  <si>
    <t>WACC</t>
  </si>
  <si>
    <t>Flujo de Caja del Inversionista</t>
  </si>
  <si>
    <t>Valor Cambio Inversores</t>
  </si>
  <si>
    <t>Monto Financiado</t>
  </si>
  <si>
    <t>Seguros</t>
  </si>
  <si>
    <t>$ / año</t>
  </si>
  <si>
    <t>Datos de Salida</t>
  </si>
  <si>
    <t xml:space="preserve"> </t>
  </si>
  <si>
    <t>Precio del Proyecto</t>
  </si>
  <si>
    <t>Variables</t>
  </si>
  <si>
    <t>TIR del Proyecto</t>
  </si>
  <si>
    <t>TIR del Inversionista</t>
  </si>
  <si>
    <t>Duración (Años)</t>
  </si>
  <si>
    <t>VPN Proyecto</t>
  </si>
  <si>
    <t>Financiación (Seleccionar)</t>
  </si>
  <si>
    <t>Si/No</t>
  </si>
  <si>
    <t>No</t>
  </si>
  <si>
    <t>TIR Financiada (Inversionista)</t>
  </si>
  <si>
    <t>Spread (+IBR)</t>
  </si>
  <si>
    <t>VPN Financiado (Inversionista)</t>
  </si>
  <si>
    <t>TIR Real</t>
  </si>
  <si>
    <t>Beneficios Tributarios (Selecionar)</t>
  </si>
  <si>
    <t>Si</t>
  </si>
  <si>
    <t>LCOE</t>
  </si>
  <si>
    <t>Proyección Inflación  IPP</t>
  </si>
  <si>
    <t>Factor de Proyección Tarifaria</t>
  </si>
  <si>
    <t>Precio Base</t>
  </si>
  <si>
    <t>Cambios Balance General</t>
  </si>
  <si>
    <t>Año</t>
  </si>
  <si>
    <t>Inversión (CAPEX + IVA)</t>
  </si>
  <si>
    <t>Depreciación Acumulada</t>
  </si>
  <si>
    <t>Cálculo beneficios Tributarios</t>
  </si>
  <si>
    <t>Beneficio Renta</t>
  </si>
  <si>
    <t>Beneficio Renta Acumulado</t>
  </si>
  <si>
    <t>Renta Líquida Teórica</t>
  </si>
  <si>
    <t>Renta Para Mínimo de Tributación</t>
  </si>
  <si>
    <t>Estado de Resultados</t>
  </si>
  <si>
    <t>Energía</t>
  </si>
  <si>
    <t>Precio Venta kWh</t>
  </si>
  <si>
    <t>Venta de Energía</t>
  </si>
  <si>
    <t>Operación y mantenimiento</t>
  </si>
  <si>
    <t>Representación XM y CGM</t>
  </si>
  <si>
    <t>Utilidad Bruta</t>
  </si>
  <si>
    <t>Alquiler Tierra</t>
  </si>
  <si>
    <t>Impuesto ICA</t>
  </si>
  <si>
    <t>(EBITDA*)</t>
  </si>
  <si>
    <t>Utilidad Operacional</t>
  </si>
  <si>
    <t>Costos Financieros</t>
  </si>
  <si>
    <t>Utilidad Antes de Impuestos</t>
  </si>
  <si>
    <t>Impuesto Renta</t>
  </si>
  <si>
    <t>Utilidad Neta</t>
  </si>
  <si>
    <t>Flujo de Caja</t>
  </si>
  <si>
    <t>(+) Utilidad Operacional</t>
  </si>
  <si>
    <t>(-) Impuestos operacionales</t>
  </si>
  <si>
    <t>NOPAT</t>
  </si>
  <si>
    <t>(+) Depreciación</t>
  </si>
  <si>
    <t>(+) Beneficio de Renta Neto</t>
  </si>
  <si>
    <t>Flujo de caja de la operación</t>
  </si>
  <si>
    <t>(+/-) Capital de trabajo</t>
  </si>
  <si>
    <t>(+/-) Inversiones en CapEx</t>
  </si>
  <si>
    <t>Flujo de caja libre</t>
  </si>
  <si>
    <t>(+) Desembolsos</t>
  </si>
  <si>
    <t>(+) Escuado fiscal</t>
  </si>
  <si>
    <t>Flujo de caja del inversionista</t>
  </si>
  <si>
    <t>(-) Dividendos</t>
  </si>
  <si>
    <t>(+) Aportes de Capital</t>
  </si>
  <si>
    <t>Caja del periodo</t>
  </si>
  <si>
    <t>Caja inicial</t>
  </si>
  <si>
    <t>Caja acumulada</t>
  </si>
  <si>
    <t>Inversión (Capex)</t>
  </si>
  <si>
    <t>O&amp;M</t>
  </si>
  <si>
    <t>Beneficios Tributarios</t>
  </si>
  <si>
    <t>Beneficios  ambientales (Bonos Carbono)</t>
  </si>
  <si>
    <t>Total Costos y Beneficios</t>
  </si>
  <si>
    <t>VPN Costos y beneficios</t>
  </si>
  <si>
    <t>Total Energía</t>
  </si>
  <si>
    <t>Beneficio Depreciación</t>
  </si>
  <si>
    <t>Generación Distribuida Proyecto POLARIS</t>
  </si>
  <si>
    <t>Flujo de Efectivo</t>
  </si>
  <si>
    <t>Antes de puesta en marcha Mar</t>
  </si>
  <si>
    <t>Flujo de Caja de la Operación</t>
  </si>
  <si>
    <t>(-) Impuesto de Renta</t>
  </si>
  <si>
    <t>Caja del Periodo</t>
  </si>
  <si>
    <t>Caja Acumulada</t>
  </si>
  <si>
    <t xml:space="preserve">* Los periodos del flujo están contemplados a partir de la Puesta en Operación del sistema. </t>
  </si>
  <si>
    <t xml:space="preserve">Se contempla 6 meses de gracias para la construcción con pago de interesas por 289 MM COP </t>
  </si>
  <si>
    <t>Tabla de amortizaciones</t>
  </si>
  <si>
    <t>Plazo (Meses)</t>
  </si>
  <si>
    <t>Spread</t>
  </si>
  <si>
    <t>Proyección Tasa</t>
  </si>
  <si>
    <t>IBR e.a</t>
  </si>
  <si>
    <t>Tasa + spread e.a</t>
  </si>
  <si>
    <t>Tasa MV</t>
  </si>
  <si>
    <t>Amortizaciones e Intereses Mensuales</t>
  </si>
  <si>
    <t>Periodo</t>
  </si>
  <si>
    <t>Saldo Inicial</t>
  </si>
  <si>
    <t>Abono a Capital</t>
  </si>
  <si>
    <t>Interéses</t>
  </si>
  <si>
    <t>Valor Cuota</t>
  </si>
  <si>
    <t>Saldo Final</t>
  </si>
  <si>
    <t>Amortizaciones e Intereses Anuales</t>
  </si>
  <si>
    <t>Pago Fijo Anual</t>
  </si>
  <si>
    <t>Gasto Financiero</t>
  </si>
  <si>
    <t>Amortización Crédito</t>
  </si>
  <si>
    <r>
      <t>Índice de Precios del Productor.</t>
    </r>
    <r>
      <rPr>
        <b/>
        <vertAlign val="superscript"/>
        <sz val="9"/>
        <color indexed="9"/>
        <rFont val="Segoe UI"/>
        <family val="2"/>
      </rPr>
      <t>1</t>
    </r>
  </si>
  <si>
    <t>(Base: Diciembre  2014=100)</t>
  </si>
  <si>
    <r>
      <t>Producción Nacional</t>
    </r>
    <r>
      <rPr>
        <b/>
        <vertAlign val="superscript"/>
        <sz val="9"/>
        <rFont val="Segoe UI"/>
        <family val="2"/>
      </rPr>
      <t>1</t>
    </r>
    <r>
      <rPr>
        <b/>
        <sz val="9"/>
        <rFont val="Segoe UI"/>
        <family val="2"/>
      </rPr>
      <t xml:space="preserve"> </t>
    </r>
    <r>
      <rPr>
        <b/>
        <vertAlign val="superscript"/>
        <sz val="9"/>
        <rFont val="Segoe UI"/>
        <family val="2"/>
      </rPr>
      <t>2</t>
    </r>
    <r>
      <rPr>
        <b/>
        <sz val="9"/>
        <rFont val="Segoe UI"/>
        <family val="2"/>
      </rPr>
      <t xml:space="preserve"> </t>
    </r>
  </si>
  <si>
    <r>
      <t xml:space="preserve">Oferta Interna </t>
    </r>
    <r>
      <rPr>
        <b/>
        <vertAlign val="superscript"/>
        <sz val="9"/>
        <rFont val="Segoe UI"/>
        <family val="2"/>
      </rPr>
      <t>1</t>
    </r>
    <r>
      <rPr>
        <b/>
        <sz val="9"/>
        <rFont val="Segoe UI"/>
        <family val="2"/>
      </rPr>
      <t xml:space="preserve"> </t>
    </r>
    <r>
      <rPr>
        <b/>
        <vertAlign val="superscript"/>
        <sz val="9"/>
        <rFont val="Segoe UI"/>
        <family val="2"/>
      </rPr>
      <t>3</t>
    </r>
  </si>
  <si>
    <r>
      <t>Procedencias</t>
    </r>
    <r>
      <rPr>
        <b/>
        <vertAlign val="superscript"/>
        <sz val="9"/>
        <rFont val="Segoe UI"/>
        <family val="2"/>
      </rPr>
      <t>1</t>
    </r>
  </si>
  <si>
    <t>Producción Nacional</t>
  </si>
  <si>
    <t>Agricultura, ganadería y pesca</t>
  </si>
  <si>
    <t>Minería</t>
  </si>
  <si>
    <t>Industria</t>
  </si>
  <si>
    <t>Oferta Interna</t>
  </si>
  <si>
    <t>Producidos para Consumo Interno</t>
  </si>
  <si>
    <t>Importados</t>
  </si>
  <si>
    <t>Exportados</t>
  </si>
  <si>
    <t>Junio</t>
  </si>
  <si>
    <t>VARIACIÓN ANAUL % DEL IPC</t>
  </si>
  <si>
    <t>Julio</t>
  </si>
  <si>
    <t>AÑO</t>
  </si>
  <si>
    <t>VAR. INICIO P</t>
  </si>
  <si>
    <t>Agosto</t>
  </si>
  <si>
    <t>Septiembre</t>
  </si>
  <si>
    <t>Octubre</t>
  </si>
  <si>
    <t>Noviembre</t>
  </si>
  <si>
    <t>Diciembre</t>
  </si>
  <si>
    <t>Enero</t>
  </si>
  <si>
    <t>Febrero</t>
  </si>
  <si>
    <t>Marzo</t>
  </si>
  <si>
    <t>Abril</t>
  </si>
  <si>
    <t>Mayo</t>
  </si>
  <si>
    <t>Promedio</t>
  </si>
  <si>
    <t xml:space="preserve">Abril </t>
  </si>
  <si>
    <t xml:space="preserve">Junio </t>
  </si>
  <si>
    <t xml:space="preserve">Octubre </t>
  </si>
  <si>
    <t xml:space="preserve">Diciembre </t>
  </si>
  <si>
    <t xml:space="preserve">Enero </t>
  </si>
  <si>
    <t>Febrero (pr*)</t>
  </si>
  <si>
    <r>
      <t>Fuente:</t>
    </r>
    <r>
      <rPr>
        <sz val="8"/>
        <rFont val="Segoe UI"/>
        <family val="2"/>
      </rPr>
      <t xml:space="preserve"> DANE</t>
    </r>
  </si>
  <si>
    <r>
      <t>1</t>
    </r>
    <r>
      <rPr>
        <sz val="8"/>
        <rFont val="Segoe UI"/>
        <family val="2"/>
      </rPr>
      <t xml:space="preserve"> La nomenclatura del IPP y demás indices de rediseño corresponden a la CIIU Rev 4 A.C y CPC Rev 2 A.C. En la página web se encuentra la correlativa entre la CPC Rev 1 A.C y CPC Rev 2 A.C; así como la correlativa CIIU Rev 3 A.C y CIIU Rev 4 A.C, con el fin que el usuario cuente con las herramientas suficientes para realizar ejercicios de empalme o comparación con las series históricas publicadas a todos los niveles de desagregación.</t>
    </r>
  </si>
  <si>
    <r>
      <t>2</t>
    </r>
    <r>
      <rPr>
        <sz val="8"/>
        <rFont val="Segoe UI"/>
        <family val="2"/>
      </rPr>
      <t xml:space="preserve"> La serie histórica del indice de precios de la producción nacional -publicada a partir de enero de 2015- es una aproximación al mismo construida con los índices de producidos y consumidos y exportados del diseño anterior.</t>
    </r>
  </si>
  <si>
    <r>
      <t>3</t>
    </r>
    <r>
      <rPr>
        <sz val="8"/>
        <rFont val="Segoe UI"/>
        <family val="2"/>
      </rPr>
      <t xml:space="preserve"> La serie histórica de la sección "Agricultura, Ganadería, Caza, Silvicultura Y Pesca" en oferta interna es construida agregando las antiguas secciones "Agricultura, Silvicultura y Ganadería" y "Pesca"</t>
    </r>
  </si>
  <si>
    <r>
      <rPr>
        <b/>
        <sz val="8"/>
        <rFont val="Segoe UI"/>
        <family val="2"/>
      </rPr>
      <t xml:space="preserve">(pr): </t>
    </r>
    <r>
      <rPr>
        <sz val="8"/>
        <rFont val="Segoe UI"/>
        <family val="2"/>
      </rPr>
      <t>Cifra provisional</t>
    </r>
  </si>
  <si>
    <r>
      <rPr>
        <b/>
        <sz val="8"/>
        <rFont val="Segoe UI"/>
        <family val="2"/>
      </rPr>
      <t>*</t>
    </r>
    <r>
      <rPr>
        <sz val="8"/>
        <rFont val="Segoe UI"/>
        <family val="2"/>
      </rPr>
      <t>Teniendo en cuenta los ajustes de la información reportada por algunas de las fuentes después de la ejecución del proceso estadístico que permite el cálculo del IPP, los resultados presentados son generados con carácter provisional, por lo que son susceptibles de revisión hasta un mes posterior de la difusión.</t>
    </r>
  </si>
  <si>
    <r>
      <t xml:space="preserve">Nota: </t>
    </r>
    <r>
      <rPr>
        <sz val="8"/>
        <rFont val="Segoe UI"/>
        <family val="2"/>
      </rPr>
      <t>La diferencia en el cálculo de las variables, obedece al sistema de aproximación en el nivel de dígitos trabajados en el índice.</t>
    </r>
  </si>
  <si>
    <t>Actualizado el 3 de marzo de 2023</t>
  </si>
  <si>
    <t>Para Validación de Datos</t>
  </si>
  <si>
    <t>Descripción</t>
  </si>
  <si>
    <t>Unidad</t>
  </si>
  <si>
    <t>Cantidad</t>
  </si>
  <si>
    <t>Valor COP/Unidad</t>
  </si>
  <si>
    <t>Valor COP</t>
  </si>
  <si>
    <t>Observaciones</t>
  </si>
  <si>
    <t>Rubro</t>
  </si>
  <si>
    <t>Dólar TRM</t>
  </si>
  <si>
    <t>Estudio de Conexión</t>
  </si>
  <si>
    <t>Und</t>
  </si>
  <si>
    <t>Ingeniería</t>
  </si>
  <si>
    <t>Consultoría</t>
  </si>
  <si>
    <t>Estudio civil (Estructuras)</t>
  </si>
  <si>
    <t>Plan de manejo ambiental</t>
  </si>
  <si>
    <t>Desarrollo</t>
  </si>
  <si>
    <t>Plan de compensación</t>
  </si>
  <si>
    <t>Topografía Inicial</t>
  </si>
  <si>
    <t>Marcado topográfico durante obra</t>
  </si>
  <si>
    <t>mes</t>
  </si>
  <si>
    <t>Mano de obra</t>
  </si>
  <si>
    <t>Estudio de suelos</t>
  </si>
  <si>
    <t>Pull Out Test</t>
  </si>
  <si>
    <t>Estructura</t>
  </si>
  <si>
    <t>Licencia de construcción</t>
  </si>
  <si>
    <t>Trámite UPME</t>
  </si>
  <si>
    <t>Gl</t>
  </si>
  <si>
    <t>UPME</t>
  </si>
  <si>
    <t>Estación Meteorológica</t>
  </si>
  <si>
    <t>Inversores Solares</t>
  </si>
  <si>
    <t>Estructura 2Vx10</t>
  </si>
  <si>
    <t>Bases concreto instalación mesas</t>
  </si>
  <si>
    <t>GL</t>
  </si>
  <si>
    <t>Paneles</t>
  </si>
  <si>
    <t>Wp</t>
  </si>
  <si>
    <t>Paneles y Módulos Solares</t>
  </si>
  <si>
    <t>Inversores 215ktl</t>
  </si>
  <si>
    <t>Celda con interruptor aislado en aire para 13,2kV; 100A</t>
  </si>
  <si>
    <t>Verirficar si mejor en poste</t>
  </si>
  <si>
    <t>Tableros de Distribución</t>
  </si>
  <si>
    <t>Tableros Eléctricos BT</t>
  </si>
  <si>
    <t>Transformador 1200kVA</t>
  </si>
  <si>
    <t>Cableado AC MT 4 AWG AL XLPE 15kV</t>
  </si>
  <si>
    <t>Metros</t>
  </si>
  <si>
    <t>Cables</t>
  </si>
  <si>
    <t>Accesorios cableado MT</t>
  </si>
  <si>
    <t>Cableado AC 4/0 AWG AL 1kV XLPE</t>
  </si>
  <si>
    <t>Interelectricas</t>
  </si>
  <si>
    <t>Bornas Cable 4/0 Bimetálica</t>
  </si>
  <si>
    <t>Cableado AC 500 kcmil AL 1kV XLPE</t>
  </si>
  <si>
    <t>Bornas Cable 500 kcmil Bimetálica</t>
  </si>
  <si>
    <t>Cableado DC 4 mm2</t>
  </si>
  <si>
    <t>Accesorios cableado DC (MC4)</t>
  </si>
  <si>
    <t>Cableado Tierra 1/0 AWG CU desnudo</t>
  </si>
  <si>
    <t>Varilla puesta a tierra</t>
  </si>
  <si>
    <t>Soldadura exotérmica</t>
  </si>
  <si>
    <t>Accesorios Tierra</t>
  </si>
  <si>
    <t>Canalizaciones 6" TDP corrugado</t>
  </si>
  <si>
    <t>Canalizaciones 4" TDP corrugado</t>
  </si>
  <si>
    <t>Canalizaciones 2" TDP corrugado</t>
  </si>
  <si>
    <t>Accesorios canalizaciones</t>
  </si>
  <si>
    <t>Cajas de inspección (1.5x1.5x0.2)+ tapa tipo man-hole</t>
  </si>
  <si>
    <t>incluye instalación</t>
  </si>
  <si>
    <t>Poste para adecuación de la conexión</t>
  </si>
  <si>
    <t>Pequeño material</t>
  </si>
  <si>
    <t>Pequeño Material</t>
  </si>
  <si>
    <t>Smartlogger 3000 (MBUS)</t>
  </si>
  <si>
    <t>Comunicaciones</t>
  </si>
  <si>
    <t>Compras Materiales</t>
  </si>
  <si>
    <t>Transporte y agenciamiento aduanero paneles</t>
  </si>
  <si>
    <t>Flete Equipos</t>
  </si>
  <si>
    <t>Transporte Inversor</t>
  </si>
  <si>
    <t>Transporte Personal</t>
  </si>
  <si>
    <t>Transporte personal</t>
  </si>
  <si>
    <t>Transporte material eléctrico</t>
  </si>
  <si>
    <t>Transporte Estructura</t>
  </si>
  <si>
    <t>Trasporte material a Obra</t>
  </si>
  <si>
    <t>Descapote, excavación y nivelación de terreno</t>
  </si>
  <si>
    <t>m2</t>
  </si>
  <si>
    <t>Obra Civil</t>
  </si>
  <si>
    <t>Disposición final desechos (incluye cargue, transporte y disposicion final en escombrera)</t>
  </si>
  <si>
    <t>m3</t>
  </si>
  <si>
    <t>Corte de tierra dentro de la obra para adecuación del área</t>
  </si>
  <si>
    <t>lleno de tierra dentro de la obra para adecuación del área con material seleccionado del sitio, incluye compactación.</t>
  </si>
  <si>
    <t>Adecuación de vía de acceso desde vía existente hasta interior del proyecto (3,5 metros de ancho)</t>
  </si>
  <si>
    <t>Zahorra para base de vía (20 cms de espesor)</t>
  </si>
  <si>
    <t>Con compactación</t>
  </si>
  <si>
    <t>Zahorra para capa final de vía (5 cm de espesor</t>
  </si>
  <si>
    <t>Cunetas para manejo de agua</t>
  </si>
  <si>
    <t>Sin refuerzo</t>
  </si>
  <si>
    <t>Descole para entrega de aguas lluvia con tuberia corrugada de 8"</t>
  </si>
  <si>
    <t>Cerramiento perimetral y mamposteria</t>
  </si>
  <si>
    <t xml:space="preserve">Puerta de acceso vehicular </t>
  </si>
  <si>
    <t>Puerta de acceso petatonal</t>
  </si>
  <si>
    <t>Cuarto eléctrico de SET MT</t>
  </si>
  <si>
    <t>obra gris y cubierta</t>
  </si>
  <si>
    <t>Zanja para cableado AC de sección 0.6x0.7 (precio incluye excavación y relleno posterior)</t>
  </si>
  <si>
    <t>Zanja para cableado DC de sección 0.4x0.7 (precio incluye excavación y relleno posterior)</t>
  </si>
  <si>
    <t>Zanja para cableado MT de sección 0.6x0.7 (precio incluye excavación y relleno posterior)</t>
  </si>
  <si>
    <t>Instalación de mesas</t>
  </si>
  <si>
    <t>Seguridad O&amp;M</t>
  </si>
  <si>
    <t>Obra civil</t>
  </si>
  <si>
    <t>Horas Trabajo Ingeniería Diseño</t>
  </si>
  <si>
    <t>Horas trabajo Ingeniero Residente</t>
  </si>
  <si>
    <t>Viaticos por mes en obra</t>
  </si>
  <si>
    <t>Imprevistos Electricos</t>
  </si>
  <si>
    <t>Imprevistos Civiles</t>
  </si>
  <si>
    <t>Pólizas</t>
  </si>
  <si>
    <t>pólizas</t>
  </si>
  <si>
    <t>Herramienta</t>
  </si>
  <si>
    <t>RETIE</t>
  </si>
  <si>
    <t>Retie</t>
  </si>
  <si>
    <t>Medida</t>
  </si>
  <si>
    <t>Medidor</t>
  </si>
  <si>
    <t>Seguridad (EPP, alturas… etc)</t>
  </si>
  <si>
    <t>Seguridad</t>
  </si>
  <si>
    <t>Seguridad vigilancia</t>
  </si>
  <si>
    <t>Varios Administrativos</t>
  </si>
  <si>
    <t>Total</t>
  </si>
  <si>
    <t>Generación Distribuida Proyecto - Polaris 3</t>
  </si>
  <si>
    <t>Resumen Financiero (MM COP)</t>
  </si>
  <si>
    <t>EVOLTI COMPANY SAS BIC</t>
  </si>
  <si>
    <t>NIDIA DEL SOCORRO ARCOS NARVAEZ</t>
  </si>
  <si>
    <t>LACTEOS ANDINOS DE NARIÑO LTDA</t>
  </si>
  <si>
    <t>ALISERVICIOS SAS</t>
  </si>
  <si>
    <t>SUTIANDINO SAS</t>
  </si>
  <si>
    <t>Participación</t>
  </si>
  <si>
    <t>Socios</t>
  </si>
  <si>
    <t>Polaris 3</t>
  </si>
  <si>
    <t>Accionista</t>
  </si>
  <si>
    <t>Aporte total</t>
  </si>
  <si>
    <t>%Participación</t>
  </si>
  <si>
    <t>Acciones</t>
  </si>
  <si>
    <t>Valor Acción</t>
  </si>
  <si>
    <t>Capitalización</t>
  </si>
  <si>
    <t>Cuentas en Participación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</si>
</sst>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2" formatCode="_(&quot;$&quot;* #,##0_);_(&quot;$&quot;* \(#,##0\);_(&quot;$&quot;* &quot;-&quot;_);_(@_)"/>
    <numFmt numFmtId="164" formatCode="_-&quot;$&quot;\ * #,##0_-;\-&quot;$&quot;\ * #,##0_-;_-&quot;$&quot;\ * &quot;-&quot;_-;_-@_-"/>
    <numFmt numFmtId="165" formatCode="_-* #,##0_-;\-* #,##0_-;_-* &quot;-&quot;_-;_-@_-"/>
    <numFmt numFmtId="166" formatCode="_-&quot;$&quot;\ * #,##0.00_-;\-&quot;$&quot;\ * #,##0.00_-;_-&quot;$&quot;\ * &quot;-&quot;??_-;_-@_-"/>
    <numFmt numFmtId="167" formatCode="_-* #,##0.00_-;\-* #,##0.00_-;_-* &quot;-&quot;??_-;_-@_-"/>
    <numFmt numFmtId="168" formatCode="&quot;$&quot;#,##0;[Red]\-&quot;$&quot;#,##0"/>
    <numFmt numFmtId="169" formatCode="&quot;$&quot;#,##0.00;[Red]\-&quot;$&quot;#,##0.00"/>
    <numFmt numFmtId="170" formatCode="_-&quot;$&quot;* #,##0_-;\-&quot;$&quot;* #,##0_-;_-&quot;$&quot;* &quot;-&quot;_-;_-@_-"/>
    <numFmt numFmtId="171" formatCode="_-&quot;$&quot;* #,##0.00_-;\-&quot;$&quot;* #,##0.00_-;_-&quot;$&quot;* &quot;-&quot;??_-;_-@_-"/>
    <numFmt numFmtId="172" formatCode="_-* #,##0_-;\-* #,##0_-;_-* &quot;-&quot;??_-;_-@_-"/>
    <numFmt numFmtId="173" formatCode="_-[$$-240A]\ * #,##0.00_-;\-[$$-240A]\ * #,##0.00_-;_-[$$-240A]\ * &quot;-&quot;??_-;_-@_-"/>
    <numFmt numFmtId="174" formatCode="_-* #,##0.0_-;\-* #,##0.0_-;_-* &quot;-&quot;??_-;_-@_-"/>
    <numFmt numFmtId="175" formatCode="_-&quot;$&quot;\ * #,##0_-;\-&quot;$&quot;\ * #,##0_-;_-&quot;$&quot;\ * &quot;-&quot;??_-;_-@_-"/>
    <numFmt numFmtId="176" formatCode="0.0%"/>
    <numFmt numFmtId="177" formatCode="_-&quot;$&quot;* #,##0.0_-;\-&quot;$&quot;* #,##0.0_-;_-&quot;$&quot;* &quot;-&quot;?_-;_-@_-"/>
    <numFmt numFmtId="178" formatCode="0.00000"/>
    <numFmt numFmtId="179" formatCode="_-[$$-240A]\ * #,##0_-;\-[$$-240A]\ * #,##0_-;_-[$$-240A]\ * &quot;-&quot;??_-;_-@_-"/>
    <numFmt numFmtId="180" formatCode="&quot;$&quot;#,##0"/>
  </numFmts>
  <fonts count="38" x14ac:knownFonts="1">
    <font>
      <sz val="12"/>
      <color theme="1"/>
      <name val="Calibri"/>
      <family val="2"/>
      <scheme val="minor"/>
    </font>
    <font>
      <sz val="12"/>
      <color theme="1"/>
      <name val="Calibri"/>
      <family val="2"/>
      <scheme val="minor"/>
    </font>
    <font>
      <b/>
      <sz val="12"/>
      <color theme="1"/>
      <name val="Calibri"/>
      <family val="2"/>
      <scheme val="minor"/>
    </font>
    <font>
      <sz val="11"/>
      <color theme="1"/>
      <name val="Calibri"/>
      <family val="2"/>
      <scheme val="minor"/>
    </font>
    <font>
      <sz val="11"/>
      <color theme="1"/>
      <name val="Calibri Light"/>
      <family val="2"/>
      <scheme val="major"/>
    </font>
    <font>
      <b/>
      <sz val="12"/>
      <color theme="1"/>
      <name val="Calibri Light"/>
      <family val="2"/>
      <scheme val="major"/>
    </font>
    <font>
      <b/>
      <sz val="11"/>
      <color theme="1"/>
      <name val="Calibri Light"/>
      <family val="2"/>
      <scheme val="major"/>
    </font>
    <font>
      <b/>
      <sz val="14"/>
      <color theme="1"/>
      <name val="Calibri"/>
      <family val="2"/>
      <scheme val="minor"/>
    </font>
    <font>
      <sz val="10"/>
      <name val="Arial"/>
      <family val="2"/>
    </font>
    <font>
      <sz val="9"/>
      <name val="Segoe UI"/>
      <family val="2"/>
    </font>
    <font>
      <b/>
      <sz val="9"/>
      <name val="Segoe UI"/>
      <family val="2"/>
    </font>
    <font>
      <b/>
      <sz val="8"/>
      <name val="Segoe UI"/>
      <family val="2"/>
    </font>
    <font>
      <sz val="8"/>
      <name val="Segoe UI"/>
      <family val="2"/>
    </font>
    <font>
      <b/>
      <sz val="8"/>
      <name val="Arial"/>
      <family val="2"/>
    </font>
    <font>
      <b/>
      <sz val="9"/>
      <color theme="0"/>
      <name val="Segoe UI"/>
      <family val="2"/>
    </font>
    <font>
      <b/>
      <sz val="8"/>
      <color theme="0"/>
      <name val="Segoe UI"/>
      <family val="2"/>
    </font>
    <font>
      <b/>
      <vertAlign val="superscript"/>
      <sz val="9"/>
      <name val="Segoe UI"/>
      <family val="2"/>
    </font>
    <font>
      <b/>
      <vertAlign val="superscript"/>
      <sz val="9"/>
      <color indexed="9"/>
      <name val="Segoe UI"/>
      <family val="2"/>
    </font>
    <font>
      <sz val="11"/>
      <color theme="1"/>
      <name val="Calibri"/>
      <family val="2"/>
    </font>
    <font>
      <b/>
      <sz val="18"/>
      <color theme="1"/>
      <name val="Calibri"/>
      <family val="2"/>
      <scheme val="minor"/>
    </font>
    <font>
      <sz val="11"/>
      <name val="Calibri Light"/>
      <family val="2"/>
      <scheme val="major"/>
    </font>
    <font>
      <b/>
      <sz val="12"/>
      <name val="Calibri Light"/>
      <family val="2"/>
      <scheme val="major"/>
    </font>
    <font>
      <sz val="12"/>
      <color theme="1"/>
      <name val="Calibri Light"/>
      <family val="2"/>
      <scheme val="major"/>
    </font>
    <font>
      <sz val="12"/>
      <name val="Calibri Light"/>
      <family val="2"/>
      <scheme val="major"/>
    </font>
    <font>
      <b/>
      <sz val="24"/>
      <color theme="4" tint="-0.499984740745262"/>
      <name val="Calibri Light"/>
      <family val="2"/>
      <scheme val="major"/>
    </font>
    <font>
      <sz val="14"/>
      <color theme="1"/>
      <name val="Calibri Light"/>
      <family val="2"/>
      <scheme val="major"/>
    </font>
    <font>
      <b/>
      <sz val="14"/>
      <color theme="1"/>
      <name val="Calibri Light"/>
      <family val="2"/>
      <scheme val="major"/>
    </font>
    <font>
      <sz val="11"/>
      <color rgb="FFFF0000"/>
      <name val="Calibri Light"/>
      <family val="2"/>
      <scheme val="major"/>
    </font>
    <font>
      <b/>
      <sz val="11"/>
      <name val="Calibri Light"/>
      <family val="2"/>
      <scheme val="major"/>
    </font>
    <font>
      <sz val="22"/>
      <color theme="1"/>
      <name val="Calibri Light"/>
      <family val="2"/>
      <scheme val="major"/>
    </font>
    <font>
      <sz val="10"/>
      <color theme="1"/>
      <name val="Calibri"/>
      <family val="2"/>
      <scheme val="minor"/>
    </font>
    <font>
      <b/>
      <sz val="11"/>
      <color theme="1"/>
      <name val="Calibri"/>
      <family val="2"/>
      <scheme val="minor"/>
    </font>
    <font>
      <b/>
      <sz val="10"/>
      <color theme="1"/>
      <name val="Calibri"/>
      <family val="2"/>
      <scheme val="minor"/>
    </font>
    <font>
      <b/>
      <sz val="11"/>
      <color theme="0"/>
      <name val="Calibri Light"/>
      <family val="2"/>
      <scheme val="major"/>
    </font>
    <font>
      <b/>
      <sz val="11"/>
      <color theme="9" tint="-0.499984740745262"/>
      <name val="Calibri Light"/>
      <family val="2"/>
      <scheme val="major"/>
    </font>
    <font>
      <sz val="11"/>
      <color theme="0"/>
      <name val="Calibri Light"/>
      <family val="2"/>
      <scheme val="major"/>
    </font>
    <font>
      <sz val="8"/>
      <name val="Calibri"/>
      <family val="2"/>
      <scheme val="minor"/>
    </font>
    <font>
      <sz val="10"/>
      <color rgb="FF000000"/>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2F2F2"/>
        <bgColor indexed="64"/>
      </patternFill>
    </fill>
    <fill>
      <patternFill patternType="solid">
        <fgColor rgb="FFB6004B"/>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rgb="FFC2D3F3"/>
        <bgColor rgb="FF000000"/>
      </patternFill>
    </fill>
    <fill>
      <patternFill patternType="solid">
        <fgColor theme="9" tint="0.59999389629810485"/>
        <bgColor indexed="64"/>
      </patternFill>
    </fill>
  </fills>
  <borders count="46">
    <border>
      <left/>
      <right/>
      <top/>
      <bottom/>
      <diagonal/>
    </border>
    <border>
      <left/>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s>
  <cellStyleXfs count="15">
    <xf numFmtId="0" fontId="0" fillId="0" borderId="0"/>
    <xf numFmtId="170" fontId="1" fillId="0" borderId="0" applyFont="0" applyFill="0" applyBorder="0" applyAlignment="0" applyProtection="0"/>
    <xf numFmtId="0" fontId="3" fillId="0" borderId="0"/>
    <xf numFmtId="167"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164" fontId="3" fillId="0" borderId="0" applyFont="0" applyFill="0" applyBorder="0" applyAlignment="0" applyProtection="0"/>
    <xf numFmtId="9" fontId="1" fillId="0" borderId="0" applyFont="0" applyFill="0" applyBorder="0" applyAlignment="0" applyProtection="0"/>
    <xf numFmtId="165" fontId="1" fillId="0" borderId="0" applyFont="0" applyFill="0" applyBorder="0" applyAlignment="0" applyProtection="0"/>
    <xf numFmtId="0" fontId="8" fillId="0" borderId="0"/>
    <xf numFmtId="9" fontId="8" fillId="0" borderId="0" applyFont="0" applyFill="0" applyBorder="0" applyAlignment="0" applyProtection="0"/>
    <xf numFmtId="0" fontId="8" fillId="0" borderId="0"/>
    <xf numFmtId="0" fontId="8" fillId="0" borderId="0"/>
    <xf numFmtId="0" fontId="18" fillId="0" borderId="0"/>
    <xf numFmtId="167" fontId="1" fillId="0" borderId="0" applyFont="0" applyFill="0" applyBorder="0" applyAlignment="0" applyProtection="0"/>
  </cellStyleXfs>
  <cellXfs count="388">
    <xf numFmtId="0" fontId="0" fillId="0" borderId="0" xfId="0"/>
    <xf numFmtId="0" fontId="4" fillId="2" borderId="0" xfId="2" applyFont="1" applyFill="1"/>
    <xf numFmtId="0" fontId="0" fillId="0" borderId="0" xfId="0" applyAlignment="1">
      <alignment horizontal="center"/>
    </xf>
    <xf numFmtId="170" fontId="0" fillId="0" borderId="0" xfId="0" applyNumberFormat="1"/>
    <xf numFmtId="10" fontId="0" fillId="0" borderId="0" xfId="0" applyNumberFormat="1"/>
    <xf numFmtId="176" fontId="0" fillId="0" borderId="0" xfId="0" applyNumberFormat="1"/>
    <xf numFmtId="0" fontId="0" fillId="0" borderId="0" xfId="0" applyAlignment="1">
      <alignment horizontal="right"/>
    </xf>
    <xf numFmtId="170" fontId="0" fillId="0" borderId="0" xfId="0" applyNumberFormat="1" applyAlignment="1">
      <alignment horizontal="center"/>
    </xf>
    <xf numFmtId="0" fontId="2" fillId="0" borderId="0" xfId="0" applyFont="1"/>
    <xf numFmtId="0" fontId="0" fillId="0" borderId="0" xfId="1" applyNumberFormat="1" applyFont="1"/>
    <xf numFmtId="170" fontId="0" fillId="0" borderId="0" xfId="1" applyFont="1"/>
    <xf numFmtId="177" fontId="0" fillId="0" borderId="0" xfId="0" applyNumberFormat="1"/>
    <xf numFmtId="0" fontId="0" fillId="3" borderId="0" xfId="0" applyFill="1"/>
    <xf numFmtId="169" fontId="0" fillId="3" borderId="0" xfId="0" applyNumberFormat="1" applyFill="1"/>
    <xf numFmtId="0" fontId="9" fillId="2" borderId="0" xfId="9" applyFont="1" applyFill="1"/>
    <xf numFmtId="0" fontId="9" fillId="2" borderId="0" xfId="9" applyFont="1" applyFill="1" applyAlignment="1">
      <alignment horizontal="center"/>
    </xf>
    <xf numFmtId="9" fontId="9" fillId="2" borderId="0" xfId="10" applyFont="1" applyFill="1" applyBorder="1"/>
    <xf numFmtId="0" fontId="10" fillId="2" borderId="0" xfId="9" applyFont="1" applyFill="1"/>
    <xf numFmtId="0" fontId="11" fillId="2" borderId="13" xfId="9" applyFont="1" applyFill="1" applyBorder="1" applyAlignment="1">
      <alignment horizontal="left" vertical="center"/>
    </xf>
    <xf numFmtId="0" fontId="11" fillId="2" borderId="0" xfId="9" applyFont="1" applyFill="1" applyAlignment="1">
      <alignment horizontal="left" vertical="center"/>
    </xf>
    <xf numFmtId="0" fontId="11" fillId="2" borderId="14" xfId="9" applyFont="1" applyFill="1" applyBorder="1" applyAlignment="1">
      <alignment horizontal="left" vertical="center"/>
    </xf>
    <xf numFmtId="0" fontId="9" fillId="2" borderId="0" xfId="9" applyFont="1" applyFill="1" applyAlignment="1">
      <alignment vertical="center"/>
    </xf>
    <xf numFmtId="0" fontId="9" fillId="2" borderId="0" xfId="9" applyFont="1" applyFill="1" applyAlignment="1">
      <alignment horizontal="center" vertical="center"/>
    </xf>
    <xf numFmtId="9" fontId="9" fillId="2" borderId="0" xfId="10" applyFont="1" applyFill="1" applyBorder="1" applyAlignment="1">
      <alignment vertical="center"/>
    </xf>
    <xf numFmtId="0" fontId="13" fillId="2" borderId="0" xfId="9" applyFont="1" applyFill="1" applyAlignment="1">
      <alignment horizontal="left"/>
    </xf>
    <xf numFmtId="2" fontId="9" fillId="0" borderId="10" xfId="10" applyNumberFormat="1" applyFont="1" applyFill="1" applyBorder="1" applyAlignment="1">
      <alignment horizontal="center"/>
    </xf>
    <xf numFmtId="2" fontId="9" fillId="0" borderId="11" xfId="10" applyNumberFormat="1" applyFont="1" applyFill="1" applyBorder="1" applyAlignment="1">
      <alignment horizontal="center"/>
    </xf>
    <xf numFmtId="0" fontId="10" fillId="0" borderId="11" xfId="9" applyFont="1" applyBorder="1" applyAlignment="1">
      <alignment horizontal="left" vertical="justify"/>
    </xf>
    <xf numFmtId="2" fontId="9" fillId="5" borderId="13" xfId="10" applyNumberFormat="1" applyFont="1" applyFill="1" applyBorder="1" applyAlignment="1">
      <alignment horizontal="center"/>
    </xf>
    <xf numFmtId="2" fontId="9" fillId="5" borderId="0" xfId="10" applyNumberFormat="1" applyFont="1" applyFill="1" applyBorder="1" applyAlignment="1">
      <alignment horizontal="center"/>
    </xf>
    <xf numFmtId="0" fontId="10" fillId="5" borderId="0" xfId="9" applyFont="1" applyFill="1" applyAlignment="1">
      <alignment horizontal="left" vertical="justify"/>
    </xf>
    <xf numFmtId="2" fontId="9" fillId="0" borderId="13" xfId="10" applyNumberFormat="1" applyFont="1" applyFill="1" applyBorder="1" applyAlignment="1">
      <alignment horizontal="center"/>
    </xf>
    <xf numFmtId="2" fontId="9" fillId="0" borderId="0" xfId="10" applyNumberFormat="1" applyFont="1" applyFill="1" applyBorder="1" applyAlignment="1">
      <alignment horizontal="center"/>
    </xf>
    <xf numFmtId="0" fontId="10" fillId="0" borderId="0" xfId="9" applyFont="1" applyAlignment="1">
      <alignment horizontal="left" vertical="justify"/>
    </xf>
    <xf numFmtId="0" fontId="9" fillId="0" borderId="0" xfId="9" applyFont="1"/>
    <xf numFmtId="0" fontId="9" fillId="0" borderId="0" xfId="9" applyFont="1" applyAlignment="1">
      <alignment horizontal="center"/>
    </xf>
    <xf numFmtId="9" fontId="9" fillId="0" borderId="0" xfId="10" applyFont="1" applyFill="1" applyBorder="1"/>
    <xf numFmtId="0" fontId="10" fillId="0" borderId="13" xfId="9" applyFont="1" applyBorder="1" applyAlignment="1">
      <alignment horizontal="left" vertical="justify"/>
    </xf>
    <xf numFmtId="9" fontId="9" fillId="2" borderId="14" xfId="10" applyFont="1" applyFill="1" applyBorder="1"/>
    <xf numFmtId="2" fontId="9" fillId="5" borderId="14" xfId="10" applyNumberFormat="1" applyFont="1" applyFill="1" applyBorder="1" applyAlignment="1">
      <alignment horizontal="center"/>
    </xf>
    <xf numFmtId="0" fontId="10" fillId="5" borderId="13" xfId="9" applyFont="1" applyFill="1" applyBorder="1" applyAlignment="1">
      <alignment horizontal="left" vertical="justify"/>
    </xf>
    <xf numFmtId="0" fontId="10" fillId="5" borderId="14" xfId="9" applyFont="1" applyFill="1" applyBorder="1" applyAlignment="1">
      <alignment horizontal="left" vertical="justify"/>
    </xf>
    <xf numFmtId="2" fontId="9" fillId="0" borderId="14" xfId="10" applyNumberFormat="1" applyFont="1" applyFill="1" applyBorder="1" applyAlignment="1">
      <alignment horizontal="center"/>
    </xf>
    <xf numFmtId="0" fontId="10" fillId="0" borderId="14" xfId="9" applyFont="1" applyBorder="1" applyAlignment="1">
      <alignment horizontal="left" vertical="justify"/>
    </xf>
    <xf numFmtId="0" fontId="9" fillId="2" borderId="0" xfId="9" applyFont="1" applyFill="1" applyAlignment="1">
      <alignment vertical="justify"/>
    </xf>
    <xf numFmtId="0" fontId="9" fillId="2" borderId="0" xfId="9" applyFont="1" applyFill="1" applyAlignment="1">
      <alignment horizontal="center" vertical="justify"/>
    </xf>
    <xf numFmtId="9" fontId="9" fillId="2" borderId="0" xfId="10" applyFont="1" applyFill="1" applyBorder="1" applyAlignment="1">
      <alignment vertical="justify"/>
    </xf>
    <xf numFmtId="0" fontId="10" fillId="5" borderId="0" xfId="9" applyFont="1" applyFill="1" applyAlignment="1">
      <alignment horizontal="left"/>
    </xf>
    <xf numFmtId="0" fontId="9" fillId="0" borderId="0" xfId="9" applyFont="1" applyAlignment="1">
      <alignment vertical="justify"/>
    </xf>
    <xf numFmtId="2" fontId="9" fillId="0" borderId="0" xfId="9" applyNumberFormat="1" applyFont="1" applyAlignment="1">
      <alignment vertical="justify"/>
    </xf>
    <xf numFmtId="2" fontId="9" fillId="0" borderId="0" xfId="9" applyNumberFormat="1" applyFont="1" applyAlignment="1">
      <alignment horizontal="center" vertical="justify"/>
    </xf>
    <xf numFmtId="9" fontId="9" fillId="0" borderId="0" xfId="10" applyFont="1" applyFill="1" applyBorder="1" applyAlignment="1">
      <alignment vertical="justify"/>
    </xf>
    <xf numFmtId="2" fontId="9" fillId="2" borderId="0" xfId="9" applyNumberFormat="1" applyFont="1" applyFill="1" applyAlignment="1">
      <alignment vertical="justify"/>
    </xf>
    <xf numFmtId="2" fontId="9" fillId="2" borderId="0" xfId="9" applyNumberFormat="1" applyFont="1" applyFill="1" applyAlignment="1">
      <alignment horizontal="center" vertical="justify"/>
    </xf>
    <xf numFmtId="176" fontId="9" fillId="3" borderId="0" xfId="10" applyNumberFormat="1" applyFont="1" applyFill="1" applyBorder="1" applyAlignment="1">
      <alignment horizontal="center" vertical="justify"/>
    </xf>
    <xf numFmtId="1" fontId="9" fillId="3" borderId="0" xfId="9" applyNumberFormat="1" applyFont="1" applyFill="1" applyAlignment="1">
      <alignment horizontal="center" vertical="justify"/>
    </xf>
    <xf numFmtId="178" fontId="9" fillId="2" borderId="0" xfId="9" applyNumberFormat="1" applyFont="1" applyFill="1"/>
    <xf numFmtId="2" fontId="14" fillId="6" borderId="0" xfId="9" applyNumberFormat="1" applyFont="1" applyFill="1" applyAlignment="1">
      <alignment horizontal="center" vertical="justify"/>
    </xf>
    <xf numFmtId="2" fontId="9" fillId="0" borderId="15" xfId="10" applyNumberFormat="1" applyFont="1" applyFill="1" applyBorder="1" applyAlignment="1">
      <alignment horizontal="center"/>
    </xf>
    <xf numFmtId="2" fontId="9" fillId="0" borderId="1" xfId="10" applyNumberFormat="1" applyFont="1" applyFill="1" applyBorder="1" applyAlignment="1">
      <alignment horizontal="center"/>
    </xf>
    <xf numFmtId="2" fontId="9" fillId="0" borderId="16" xfId="10" applyNumberFormat="1" applyFont="1" applyFill="1" applyBorder="1" applyAlignment="1">
      <alignment horizontal="center"/>
    </xf>
    <xf numFmtId="0" fontId="10" fillId="0" borderId="15" xfId="9" applyFont="1" applyBorder="1" applyAlignment="1">
      <alignment horizontal="left" vertical="justify"/>
    </xf>
    <xf numFmtId="0" fontId="10" fillId="0" borderId="16" xfId="9" applyFont="1" applyBorder="1" applyAlignment="1">
      <alignment horizontal="left" vertical="justify"/>
    </xf>
    <xf numFmtId="0" fontId="10" fillId="2" borderId="17" xfId="9" applyFont="1" applyFill="1" applyBorder="1" applyAlignment="1">
      <alignment horizontal="center" vertical="center" wrapText="1"/>
    </xf>
    <xf numFmtId="0" fontId="10" fillId="2" borderId="17" xfId="9" applyFont="1" applyFill="1" applyBorder="1" applyAlignment="1">
      <alignment horizontal="center" vertical="center"/>
    </xf>
    <xf numFmtId="0" fontId="10" fillId="2" borderId="17" xfId="9" applyFont="1" applyFill="1" applyBorder="1" applyAlignment="1">
      <alignment horizontal="center" vertical="justify"/>
    </xf>
    <xf numFmtId="0" fontId="10" fillId="2" borderId="13" xfId="9" quotePrefix="1" applyFont="1" applyFill="1" applyBorder="1" applyAlignment="1">
      <alignment horizontal="center"/>
    </xf>
    <xf numFmtId="0" fontId="10" fillId="2" borderId="0" xfId="9" quotePrefix="1" applyFont="1" applyFill="1" applyAlignment="1">
      <alignment horizontal="center"/>
    </xf>
    <xf numFmtId="0" fontId="10" fillId="2" borderId="0" xfId="9" quotePrefix="1" applyFont="1" applyFill="1" applyAlignment="1">
      <alignment horizontal="centerContinuous"/>
    </xf>
    <xf numFmtId="0" fontId="0" fillId="0" borderId="0" xfId="0" applyAlignment="1">
      <alignment horizontal="left"/>
    </xf>
    <xf numFmtId="0" fontId="7" fillId="0" borderId="0" xfId="0" applyFont="1" applyAlignment="1">
      <alignment vertical="center"/>
    </xf>
    <xf numFmtId="176" fontId="0" fillId="2" borderId="0" xfId="0" applyNumberFormat="1" applyFill="1"/>
    <xf numFmtId="170" fontId="0" fillId="2" borderId="0" xfId="1" applyFont="1" applyFill="1" applyBorder="1"/>
    <xf numFmtId="170" fontId="0" fillId="2" borderId="0" xfId="0" applyNumberFormat="1" applyFill="1"/>
    <xf numFmtId="0" fontId="0" fillId="2" borderId="0" xfId="0" applyFill="1"/>
    <xf numFmtId="2" fontId="0" fillId="2" borderId="0" xfId="0" applyNumberFormat="1" applyFill="1"/>
    <xf numFmtId="0" fontId="0" fillId="2" borderId="0" xfId="7" applyNumberFormat="1" applyFont="1" applyFill="1" applyBorder="1"/>
    <xf numFmtId="0" fontId="0" fillId="2" borderId="0" xfId="1" applyNumberFormat="1" applyFont="1" applyFill="1" applyBorder="1"/>
    <xf numFmtId="0" fontId="0" fillId="2" borderId="0" xfId="0" applyFill="1" applyAlignment="1">
      <alignment horizontal="center"/>
    </xf>
    <xf numFmtId="0" fontId="7" fillId="0" borderId="5" xfId="1" applyNumberFormat="1" applyFont="1" applyBorder="1" applyAlignment="1">
      <alignment horizontal="center"/>
    </xf>
    <xf numFmtId="0" fontId="7" fillId="0" borderId="5" xfId="0" applyFont="1" applyBorder="1" applyAlignment="1">
      <alignment horizontal="center"/>
    </xf>
    <xf numFmtId="1" fontId="7" fillId="0" borderId="5" xfId="0" applyNumberFormat="1" applyFont="1" applyBorder="1" applyAlignment="1">
      <alignment horizontal="center"/>
    </xf>
    <xf numFmtId="0" fontId="19" fillId="0" borderId="0" xfId="0" applyFont="1"/>
    <xf numFmtId="0" fontId="7" fillId="0" borderId="0" xfId="1" applyNumberFormat="1" applyFont="1" applyBorder="1" applyAlignment="1">
      <alignment horizontal="center"/>
    </xf>
    <xf numFmtId="0" fontId="4" fillId="0" borderId="0" xfId="2" applyFont="1" applyAlignment="1">
      <alignment horizontal="center"/>
    </xf>
    <xf numFmtId="0" fontId="6" fillId="0" borderId="0" xfId="2" applyFont="1"/>
    <xf numFmtId="0" fontId="4" fillId="0" borderId="0" xfId="2" applyFont="1"/>
    <xf numFmtId="172" fontId="4" fillId="0" borderId="0" xfId="2" applyNumberFormat="1" applyFont="1"/>
    <xf numFmtId="176" fontId="4" fillId="0" borderId="0" xfId="7" applyNumberFormat="1" applyFont="1" applyFill="1" applyBorder="1"/>
    <xf numFmtId="0" fontId="0" fillId="0" borderId="5" xfId="0" applyBorder="1"/>
    <xf numFmtId="0" fontId="6" fillId="2" borderId="0" xfId="2" applyFont="1" applyFill="1"/>
    <xf numFmtId="165" fontId="4" fillId="2" borderId="0" xfId="8" applyFont="1" applyFill="1" applyBorder="1"/>
    <xf numFmtId="165" fontId="4" fillId="2" borderId="0" xfId="4" applyNumberFormat="1" applyFont="1" applyFill="1" applyBorder="1"/>
    <xf numFmtId="172" fontId="4" fillId="2" borderId="0" xfId="2" applyNumberFormat="1" applyFont="1" applyFill="1"/>
    <xf numFmtId="172" fontId="4" fillId="2" borderId="0" xfId="3" applyNumberFormat="1" applyFont="1" applyFill="1" applyBorder="1"/>
    <xf numFmtId="0" fontId="4" fillId="2" borderId="0" xfId="2" applyFont="1" applyFill="1" applyAlignment="1">
      <alignment horizontal="right"/>
    </xf>
    <xf numFmtId="9" fontId="4" fillId="2" borderId="0" xfId="2" applyNumberFormat="1" applyFont="1" applyFill="1" applyAlignment="1">
      <alignment horizontal="right"/>
    </xf>
    <xf numFmtId="0" fontId="5" fillId="0" borderId="0" xfId="2" applyFont="1" applyAlignment="1">
      <alignment horizontal="center"/>
    </xf>
    <xf numFmtId="0" fontId="6" fillId="3" borderId="5" xfId="2" applyFont="1" applyFill="1" applyBorder="1" applyAlignment="1">
      <alignment horizontal="left"/>
    </xf>
    <xf numFmtId="9" fontId="4" fillId="0" borderId="0" xfId="7" applyFont="1"/>
    <xf numFmtId="0" fontId="5" fillId="0" borderId="0" xfId="2" applyFont="1"/>
    <xf numFmtId="0" fontId="21" fillId="0" borderId="0" xfId="2" applyFont="1"/>
    <xf numFmtId="170" fontId="22" fillId="0" borderId="0" xfId="1" applyFont="1" applyFill="1" applyBorder="1"/>
    <xf numFmtId="0" fontId="22" fillId="0" borderId="0" xfId="2" applyFont="1"/>
    <xf numFmtId="0" fontId="23" fillId="0" borderId="0" xfId="2" applyFont="1" applyAlignment="1">
      <alignment horizontal="left"/>
    </xf>
    <xf numFmtId="172" fontId="22" fillId="0" borderId="0" xfId="2" applyNumberFormat="1" applyFont="1"/>
    <xf numFmtId="167" fontId="22" fillId="0" borderId="0" xfId="3" applyFont="1" applyFill="1" applyBorder="1"/>
    <xf numFmtId="167" fontId="22" fillId="0" borderId="0" xfId="2" applyNumberFormat="1" applyFont="1"/>
    <xf numFmtId="174" fontId="22" fillId="0" borderId="0" xfId="2" applyNumberFormat="1" applyFont="1"/>
    <xf numFmtId="172" fontId="22" fillId="0" borderId="0" xfId="3" applyNumberFormat="1" applyFont="1" applyFill="1" applyBorder="1"/>
    <xf numFmtId="0" fontId="23" fillId="0" borderId="0" xfId="2" applyFont="1"/>
    <xf numFmtId="172" fontId="5" fillId="0" borderId="0" xfId="2" applyNumberFormat="1" applyFont="1"/>
    <xf numFmtId="175" fontId="22" fillId="0" borderId="0" xfId="2" applyNumberFormat="1" applyFont="1"/>
    <xf numFmtId="170" fontId="4" fillId="0" borderId="0" xfId="1" applyFont="1"/>
    <xf numFmtId="170" fontId="4" fillId="0" borderId="0" xfId="1" applyFont="1" applyFill="1" applyBorder="1"/>
    <xf numFmtId="0" fontId="25" fillId="0" borderId="0" xfId="2" applyFont="1" applyAlignment="1">
      <alignment horizontal="left"/>
    </xf>
    <xf numFmtId="0" fontId="26" fillId="0" borderId="0" xfId="2" applyFont="1" applyAlignment="1">
      <alignment horizontal="left"/>
    </xf>
    <xf numFmtId="0" fontId="27" fillId="0" borderId="0" xfId="2" applyFont="1"/>
    <xf numFmtId="172" fontId="28" fillId="0" borderId="0" xfId="2" applyNumberFormat="1" applyFont="1"/>
    <xf numFmtId="0" fontId="6" fillId="0" borderId="0" xfId="2" applyFont="1" applyAlignment="1">
      <alignment horizontal="center"/>
    </xf>
    <xf numFmtId="0" fontId="20" fillId="0" borderId="0" xfId="2" applyFont="1"/>
    <xf numFmtId="0" fontId="20" fillId="0" borderId="0" xfId="2" applyFont="1" applyAlignment="1">
      <alignment horizontal="center"/>
    </xf>
    <xf numFmtId="170" fontId="23" fillId="0" borderId="2" xfId="1" applyFont="1" applyBorder="1"/>
    <xf numFmtId="170" fontId="22" fillId="0" borderId="0" xfId="1" applyFont="1" applyBorder="1"/>
    <xf numFmtId="170" fontId="22" fillId="0" borderId="3" xfId="1" applyFont="1" applyBorder="1"/>
    <xf numFmtId="0" fontId="23" fillId="0" borderId="2" xfId="2" applyFont="1" applyBorder="1" applyAlignment="1">
      <alignment horizontal="left"/>
    </xf>
    <xf numFmtId="167" fontId="22" fillId="0" borderId="3" xfId="3" applyFont="1" applyFill="1" applyBorder="1"/>
    <xf numFmtId="174" fontId="22" fillId="0" borderId="3" xfId="2" applyNumberFormat="1" applyFont="1" applyBorder="1"/>
    <xf numFmtId="172" fontId="22" fillId="0" borderId="3" xfId="3" applyNumberFormat="1" applyFont="1" applyFill="1" applyBorder="1"/>
    <xf numFmtId="0" fontId="23" fillId="0" borderId="2" xfId="2" applyFont="1" applyBorder="1"/>
    <xf numFmtId="172" fontId="22" fillId="0" borderId="3" xfId="2" applyNumberFormat="1" applyFont="1" applyBorder="1"/>
    <xf numFmtId="0" fontId="21" fillId="3" borderId="2" xfId="2" applyFont="1" applyFill="1" applyBorder="1"/>
    <xf numFmtId="0" fontId="5" fillId="3" borderId="0" xfId="2" applyFont="1" applyFill="1"/>
    <xf numFmtId="172" fontId="5" fillId="3" borderId="0" xfId="2" applyNumberFormat="1" applyFont="1" applyFill="1"/>
    <xf numFmtId="172" fontId="5" fillId="3" borderId="3" xfId="2" applyNumberFormat="1" applyFont="1" applyFill="1" applyBorder="1"/>
    <xf numFmtId="0" fontId="22" fillId="0" borderId="3" xfId="2" applyFont="1" applyBorder="1"/>
    <xf numFmtId="0" fontId="21" fillId="4" borderId="4" xfId="2" applyFont="1" applyFill="1" applyBorder="1"/>
    <xf numFmtId="172" fontId="5" fillId="4" borderId="5" xfId="2" applyNumberFormat="1" applyFont="1" applyFill="1" applyBorder="1"/>
    <xf numFmtId="172" fontId="5" fillId="4" borderId="6" xfId="2" applyNumberFormat="1" applyFont="1" applyFill="1" applyBorder="1"/>
    <xf numFmtId="172" fontId="5" fillId="0" borderId="7" xfId="2" applyNumberFormat="1" applyFont="1" applyBorder="1"/>
    <xf numFmtId="172" fontId="5" fillId="0" borderId="9" xfId="2" applyNumberFormat="1" applyFont="1" applyBorder="1"/>
    <xf numFmtId="172" fontId="5" fillId="0" borderId="8" xfId="2" applyNumberFormat="1" applyFont="1" applyBorder="1"/>
    <xf numFmtId="0" fontId="5" fillId="3" borderId="5" xfId="2" applyFont="1" applyFill="1" applyBorder="1"/>
    <xf numFmtId="0" fontId="5" fillId="3" borderId="5" xfId="2" applyFont="1" applyFill="1" applyBorder="1" applyAlignment="1">
      <alignment horizontal="center"/>
    </xf>
    <xf numFmtId="10" fontId="4" fillId="2" borderId="0" xfId="7" applyNumberFormat="1" applyFont="1" applyFill="1" applyBorder="1"/>
    <xf numFmtId="170" fontId="4" fillId="0" borderId="0" xfId="1" applyFont="1" applyFill="1" applyBorder="1" applyAlignment="1">
      <alignment horizontal="left" vertical="top"/>
    </xf>
    <xf numFmtId="171" fontId="4" fillId="0" borderId="0" xfId="2" applyNumberFormat="1" applyFont="1"/>
    <xf numFmtId="170" fontId="4" fillId="0" borderId="0" xfId="2" applyNumberFormat="1" applyFont="1"/>
    <xf numFmtId="170" fontId="4" fillId="2" borderId="0" xfId="1" applyFont="1" applyFill="1" applyBorder="1" applyAlignment="1">
      <alignment horizontal="right"/>
    </xf>
    <xf numFmtId="170" fontId="6" fillId="0" borderId="0" xfId="2" applyNumberFormat="1" applyFont="1"/>
    <xf numFmtId="170" fontId="6" fillId="0" borderId="0" xfId="1" applyFont="1" applyFill="1" applyBorder="1"/>
    <xf numFmtId="0" fontId="6" fillId="2" borderId="0" xfId="2" applyFont="1" applyFill="1" applyAlignment="1">
      <alignment horizontal="center"/>
    </xf>
    <xf numFmtId="0" fontId="6" fillId="2" borderId="0" xfId="2" applyFont="1" applyFill="1" applyAlignment="1">
      <alignment horizontal="right"/>
    </xf>
    <xf numFmtId="0" fontId="6" fillId="0" borderId="0" xfId="2" applyFont="1" applyAlignment="1">
      <alignment horizontal="center" vertical="center"/>
    </xf>
    <xf numFmtId="0" fontId="22" fillId="3" borderId="5" xfId="2" applyFont="1" applyFill="1" applyBorder="1" applyAlignment="1">
      <alignment horizontal="center"/>
    </xf>
    <xf numFmtId="176" fontId="22" fillId="3" borderId="5" xfId="7" applyNumberFormat="1" applyFont="1" applyFill="1" applyBorder="1" applyAlignment="1">
      <alignment horizontal="center"/>
    </xf>
    <xf numFmtId="9" fontId="0" fillId="0" borderId="0" xfId="0" applyNumberFormat="1"/>
    <xf numFmtId="0" fontId="2" fillId="0" borderId="0" xfId="0" applyFont="1" applyAlignment="1">
      <alignment horizontal="center"/>
    </xf>
    <xf numFmtId="0" fontId="31" fillId="7" borderId="22" xfId="0" applyFont="1" applyFill="1" applyBorder="1" applyAlignment="1">
      <alignment horizontal="center" vertical="center" wrapText="1"/>
    </xf>
    <xf numFmtId="0" fontId="31" fillId="7" borderId="30" xfId="0" applyFont="1" applyFill="1" applyBorder="1" applyAlignment="1">
      <alignment horizontal="center" vertical="center" wrapText="1"/>
    </xf>
    <xf numFmtId="0" fontId="31" fillId="7" borderId="23" xfId="0" applyFont="1" applyFill="1" applyBorder="1" applyAlignment="1">
      <alignment horizontal="center" vertical="center" wrapText="1"/>
    </xf>
    <xf numFmtId="0" fontId="31" fillId="7" borderId="0" xfId="0" applyFont="1" applyFill="1" applyAlignment="1">
      <alignment horizontal="center" vertical="center" wrapText="1"/>
    </xf>
    <xf numFmtId="10" fontId="0" fillId="0" borderId="0" xfId="4" applyNumberFormat="1" applyFont="1"/>
    <xf numFmtId="0" fontId="0" fillId="8" borderId="31" xfId="0" applyFill="1" applyBorder="1"/>
    <xf numFmtId="0" fontId="0" fillId="8" borderId="32" xfId="0" applyFill="1" applyBorder="1"/>
    <xf numFmtId="166" fontId="0" fillId="8" borderId="32" xfId="5" applyFont="1" applyFill="1" applyBorder="1"/>
    <xf numFmtId="166" fontId="0" fillId="8" borderId="17" xfId="5" applyFont="1" applyFill="1" applyBorder="1"/>
    <xf numFmtId="0" fontId="30" fillId="8" borderId="33" xfId="0" applyFont="1" applyFill="1" applyBorder="1"/>
    <xf numFmtId="0" fontId="30" fillId="8" borderId="0" xfId="0" applyFont="1" applyFill="1"/>
    <xf numFmtId="0" fontId="0" fillId="8" borderId="24" xfId="0" applyFill="1" applyBorder="1"/>
    <xf numFmtId="0" fontId="0" fillId="8" borderId="18" xfId="0" applyFill="1" applyBorder="1"/>
    <xf numFmtId="166" fontId="0" fillId="8" borderId="18" xfId="5" applyFont="1" applyFill="1" applyBorder="1"/>
    <xf numFmtId="0" fontId="30" fillId="8" borderId="25" xfId="0" applyFont="1" applyFill="1" applyBorder="1"/>
    <xf numFmtId="0" fontId="0" fillId="8" borderId="34" xfId="0" applyFill="1" applyBorder="1"/>
    <xf numFmtId="0" fontId="0" fillId="8" borderId="17" xfId="0" applyFill="1" applyBorder="1"/>
    <xf numFmtId="0" fontId="30" fillId="8" borderId="21" xfId="0" applyFont="1" applyFill="1" applyBorder="1"/>
    <xf numFmtId="0" fontId="0" fillId="8" borderId="26" xfId="0" applyFill="1" applyBorder="1"/>
    <xf numFmtId="0" fontId="0" fillId="8" borderId="20" xfId="0" applyFill="1" applyBorder="1"/>
    <xf numFmtId="166" fontId="0" fillId="8" borderId="20" xfId="5" applyFont="1" applyFill="1" applyBorder="1"/>
    <xf numFmtId="0" fontId="30" fillId="8" borderId="27" xfId="0" applyFont="1" applyFill="1" applyBorder="1"/>
    <xf numFmtId="166" fontId="31" fillId="8" borderId="35" xfId="5" applyFont="1" applyFill="1" applyBorder="1"/>
    <xf numFmtId="0" fontId="32" fillId="8" borderId="29" xfId="0" applyFont="1" applyFill="1" applyBorder="1"/>
    <xf numFmtId="0" fontId="32" fillId="8" borderId="0" xfId="0" applyFont="1" applyFill="1"/>
    <xf numFmtId="9" fontId="7" fillId="0" borderId="0" xfId="4" applyFont="1"/>
    <xf numFmtId="0" fontId="0" fillId="7" borderId="31" xfId="0" applyFill="1" applyBorder="1"/>
    <xf numFmtId="0" fontId="0" fillId="7" borderId="32" xfId="0" applyFill="1" applyBorder="1"/>
    <xf numFmtId="166" fontId="0" fillId="7" borderId="17" xfId="5" applyFont="1" applyFill="1" applyBorder="1"/>
    <xf numFmtId="166" fontId="0" fillId="7" borderId="32" xfId="5" applyFont="1" applyFill="1" applyBorder="1"/>
    <xf numFmtId="0" fontId="30" fillId="7" borderId="33" xfId="0" applyFont="1" applyFill="1" applyBorder="1"/>
    <xf numFmtId="0" fontId="30" fillId="7" borderId="0" xfId="0" applyFont="1" applyFill="1"/>
    <xf numFmtId="0" fontId="0" fillId="7" borderId="24" xfId="0" applyFill="1" applyBorder="1"/>
    <xf numFmtId="0" fontId="0" fillId="7" borderId="18" xfId="0" applyFill="1" applyBorder="1"/>
    <xf numFmtId="166" fontId="0" fillId="7" borderId="18" xfId="5" applyFont="1" applyFill="1" applyBorder="1"/>
    <xf numFmtId="0" fontId="30" fillId="7" borderId="25" xfId="0" applyFont="1" applyFill="1" applyBorder="1"/>
    <xf numFmtId="0" fontId="0" fillId="7" borderId="34" xfId="0" applyFill="1" applyBorder="1"/>
    <xf numFmtId="0" fontId="0" fillId="7" borderId="17" xfId="0" applyFill="1" applyBorder="1"/>
    <xf numFmtId="0" fontId="30" fillId="7" borderId="21" xfId="0" applyFont="1" applyFill="1" applyBorder="1"/>
    <xf numFmtId="166" fontId="0" fillId="0" borderId="0" xfId="5" applyFont="1"/>
    <xf numFmtId="166" fontId="0" fillId="0" borderId="0" xfId="0" applyNumberFormat="1"/>
    <xf numFmtId="166" fontId="30" fillId="7" borderId="0" xfId="5" applyFont="1" applyFill="1" applyBorder="1"/>
    <xf numFmtId="166" fontId="31" fillId="7" borderId="35" xfId="5" applyFont="1" applyFill="1" applyBorder="1"/>
    <xf numFmtId="0" fontId="30" fillId="7" borderId="29" xfId="0" applyFont="1" applyFill="1" applyBorder="1"/>
    <xf numFmtId="0" fontId="30" fillId="8" borderId="29" xfId="0" applyFont="1" applyFill="1" applyBorder="1"/>
    <xf numFmtId="0" fontId="0" fillId="7" borderId="24" xfId="0" applyFill="1" applyBorder="1" applyAlignment="1">
      <alignment horizontal="left"/>
    </xf>
    <xf numFmtId="0" fontId="31" fillId="7" borderId="18" xfId="0" applyFont="1" applyFill="1" applyBorder="1" applyAlignment="1">
      <alignment horizontal="center"/>
    </xf>
    <xf numFmtId="0" fontId="0" fillId="7" borderId="18" xfId="0" applyFill="1" applyBorder="1" applyAlignment="1">
      <alignment horizontal="center"/>
    </xf>
    <xf numFmtId="166" fontId="0" fillId="7" borderId="18" xfId="5" applyFont="1" applyFill="1" applyBorder="1" applyAlignment="1">
      <alignment horizontal="center"/>
    </xf>
    <xf numFmtId="166" fontId="3" fillId="7" borderId="18" xfId="5" applyFont="1" applyFill="1" applyBorder="1"/>
    <xf numFmtId="0" fontId="30" fillId="7" borderId="18" xfId="0" applyFont="1" applyFill="1" applyBorder="1"/>
    <xf numFmtId="0" fontId="0" fillId="7" borderId="34" xfId="0" applyFill="1" applyBorder="1" applyAlignment="1">
      <alignment horizontal="left"/>
    </xf>
    <xf numFmtId="0" fontId="31" fillId="7" borderId="17" xfId="0" applyFont="1" applyFill="1" applyBorder="1" applyAlignment="1">
      <alignment horizontal="center"/>
    </xf>
    <xf numFmtId="0" fontId="0" fillId="7" borderId="17" xfId="0" applyFill="1" applyBorder="1" applyAlignment="1">
      <alignment horizontal="center"/>
    </xf>
    <xf numFmtId="166" fontId="0" fillId="7" borderId="17" xfId="5" applyFont="1" applyFill="1" applyBorder="1" applyAlignment="1">
      <alignment horizontal="center"/>
    </xf>
    <xf numFmtId="166" fontId="3" fillId="7" borderId="17" xfId="5" applyFont="1" applyFill="1" applyBorder="1"/>
    <xf numFmtId="0" fontId="30" fillId="7" borderId="17" xfId="0" applyFont="1" applyFill="1" applyBorder="1"/>
    <xf numFmtId="0" fontId="0" fillId="7" borderId="34" xfId="0" applyFill="1" applyBorder="1" applyAlignment="1">
      <alignment horizontal="left" wrapText="1"/>
    </xf>
    <xf numFmtId="0" fontId="31" fillId="7" borderId="17" xfId="0" applyFont="1" applyFill="1" applyBorder="1" applyAlignment="1">
      <alignment horizontal="center" wrapText="1"/>
    </xf>
    <xf numFmtId="0" fontId="0" fillId="7" borderId="17" xfId="0" applyFill="1" applyBorder="1" applyAlignment="1">
      <alignment horizontal="center" wrapText="1"/>
    </xf>
    <xf numFmtId="166" fontId="3" fillId="7" borderId="17" xfId="5" applyFont="1" applyFill="1" applyBorder="1" applyAlignment="1">
      <alignment wrapText="1"/>
    </xf>
    <xf numFmtId="0" fontId="30" fillId="7" borderId="17" xfId="0" applyFont="1" applyFill="1" applyBorder="1" applyAlignment="1">
      <alignment wrapText="1"/>
    </xf>
    <xf numFmtId="0" fontId="30" fillId="7" borderId="21" xfId="0" applyFont="1" applyFill="1" applyBorder="1" applyAlignment="1">
      <alignment wrapText="1"/>
    </xf>
    <xf numFmtId="0" fontId="30" fillId="7" borderId="0" xfId="0" applyFont="1" applyFill="1" applyAlignment="1">
      <alignment wrapText="1"/>
    </xf>
    <xf numFmtId="0" fontId="0" fillId="0" borderId="0" xfId="0" applyAlignment="1">
      <alignment wrapText="1"/>
    </xf>
    <xf numFmtId="166" fontId="31" fillId="7" borderId="17" xfId="5" applyFont="1" applyFill="1" applyBorder="1" applyAlignment="1">
      <alignment horizontal="center"/>
    </xf>
    <xf numFmtId="2" fontId="0" fillId="0" borderId="0" xfId="0" applyNumberFormat="1"/>
    <xf numFmtId="171" fontId="0" fillId="0" borderId="0" xfId="0" applyNumberFormat="1"/>
    <xf numFmtId="166" fontId="2" fillId="0" borderId="0" xfId="5" applyFont="1" applyAlignment="1">
      <alignment horizontal="center"/>
    </xf>
    <xf numFmtId="2" fontId="4" fillId="0" borderId="0" xfId="2" applyNumberFormat="1" applyFont="1" applyAlignment="1">
      <alignment horizontal="right"/>
    </xf>
    <xf numFmtId="170" fontId="4" fillId="0" borderId="0" xfId="2" applyNumberFormat="1" applyFont="1" applyAlignment="1">
      <alignment horizontal="right"/>
    </xf>
    <xf numFmtId="170" fontId="4" fillId="0" borderId="0" xfId="1" applyFont="1" applyAlignment="1">
      <alignment horizontal="center"/>
    </xf>
    <xf numFmtId="0" fontId="4" fillId="2" borderId="0" xfId="1" applyNumberFormat="1" applyFont="1" applyFill="1" applyBorder="1"/>
    <xf numFmtId="176" fontId="4" fillId="2" borderId="0" xfId="2" applyNumberFormat="1" applyFont="1" applyFill="1"/>
    <xf numFmtId="165" fontId="4" fillId="2" borderId="0" xfId="8" applyFont="1" applyFill="1"/>
    <xf numFmtId="173" fontId="6" fillId="2" borderId="0" xfId="5" applyNumberFormat="1" applyFont="1" applyFill="1" applyBorder="1" applyAlignment="1">
      <alignment horizontal="center"/>
    </xf>
    <xf numFmtId="176" fontId="6" fillId="0" borderId="0" xfId="2" applyNumberFormat="1" applyFont="1" applyAlignment="1">
      <alignment horizontal="right"/>
    </xf>
    <xf numFmtId="172" fontId="6" fillId="2" borderId="0" xfId="3" applyNumberFormat="1" applyFont="1" applyFill="1" applyBorder="1" applyAlignment="1">
      <alignment horizontal="right"/>
    </xf>
    <xf numFmtId="169" fontId="4" fillId="0" borderId="0" xfId="1" applyNumberFormat="1" applyFont="1"/>
    <xf numFmtId="0" fontId="24" fillId="0" borderId="0" xfId="2" applyFont="1" applyAlignment="1">
      <alignment vertical="top" wrapText="1"/>
    </xf>
    <xf numFmtId="10" fontId="4" fillId="0" borderId="0" xfId="2" applyNumberFormat="1" applyFont="1"/>
    <xf numFmtId="168" fontId="6" fillId="0" borderId="0" xfId="2" applyNumberFormat="1" applyFont="1"/>
    <xf numFmtId="179" fontId="4" fillId="0" borderId="0" xfId="1" applyNumberFormat="1" applyFont="1"/>
    <xf numFmtId="0" fontId="5" fillId="3" borderId="19" xfId="2" applyFont="1" applyFill="1" applyBorder="1"/>
    <xf numFmtId="1" fontId="5" fillId="3" borderId="19" xfId="2" applyNumberFormat="1" applyFont="1" applyFill="1" applyBorder="1"/>
    <xf numFmtId="176" fontId="4" fillId="2" borderId="0" xfId="7" applyNumberFormat="1" applyFont="1" applyFill="1" applyBorder="1"/>
    <xf numFmtId="165" fontId="4" fillId="0" borderId="0" xfId="2" applyNumberFormat="1" applyFont="1"/>
    <xf numFmtId="169" fontId="4" fillId="0" borderId="0" xfId="2" applyNumberFormat="1" applyFont="1"/>
    <xf numFmtId="167" fontId="4" fillId="0" borderId="0" xfId="2" applyNumberFormat="1" applyFont="1"/>
    <xf numFmtId="9" fontId="4" fillId="2" borderId="0" xfId="7" applyFont="1" applyFill="1" applyBorder="1"/>
    <xf numFmtId="170" fontId="22" fillId="0" borderId="0" xfId="2" applyNumberFormat="1" applyFont="1"/>
    <xf numFmtId="9" fontId="4" fillId="2" borderId="0" xfId="2" applyNumberFormat="1" applyFont="1" applyFill="1"/>
    <xf numFmtId="0" fontId="0" fillId="0" borderId="0" xfId="7" applyNumberFormat="1" applyFont="1" applyFill="1" applyBorder="1"/>
    <xf numFmtId="0" fontId="19" fillId="3" borderId="0" xfId="0" applyFont="1" applyFill="1" applyAlignment="1">
      <alignment vertical="center"/>
    </xf>
    <xf numFmtId="0" fontId="19" fillId="3" borderId="5" xfId="0" applyFont="1" applyFill="1" applyBorder="1" applyAlignment="1">
      <alignment vertical="center"/>
    </xf>
    <xf numFmtId="17" fontId="19" fillId="3" borderId="5" xfId="0" applyNumberFormat="1" applyFont="1" applyFill="1" applyBorder="1" applyAlignment="1">
      <alignment vertical="center"/>
    </xf>
    <xf numFmtId="169" fontId="0" fillId="2" borderId="0" xfId="1" applyNumberFormat="1" applyFont="1" applyFill="1" applyBorder="1"/>
    <xf numFmtId="165" fontId="22" fillId="0" borderId="0" xfId="3" applyNumberFormat="1" applyFont="1" applyFill="1" applyBorder="1"/>
    <xf numFmtId="170" fontId="4" fillId="0" borderId="0" xfId="1" applyFont="1" applyFill="1" applyAlignment="1">
      <alignment horizontal="center" vertical="center"/>
    </xf>
    <xf numFmtId="170" fontId="6" fillId="0" borderId="0" xfId="1" applyFont="1" applyAlignment="1">
      <alignment horizontal="center"/>
    </xf>
    <xf numFmtId="172" fontId="34" fillId="0" borderId="0" xfId="2" applyNumberFormat="1" applyFont="1"/>
    <xf numFmtId="170" fontId="34" fillId="0" borderId="0" xfId="2" applyNumberFormat="1" applyFont="1"/>
    <xf numFmtId="0" fontId="34" fillId="0" borderId="0" xfId="2" applyFont="1" applyAlignment="1">
      <alignment horizontal="right"/>
    </xf>
    <xf numFmtId="170" fontId="6" fillId="9" borderId="36" xfId="1" applyFont="1" applyFill="1" applyBorder="1" applyAlignment="1">
      <alignment horizontal="center"/>
    </xf>
    <xf numFmtId="176" fontId="34" fillId="0" borderId="0" xfId="2" applyNumberFormat="1" applyFont="1"/>
    <xf numFmtId="180" fontId="34" fillId="0" borderId="0" xfId="2" applyNumberFormat="1" applyFont="1"/>
    <xf numFmtId="178" fontId="4" fillId="0" borderId="0" xfId="2" applyNumberFormat="1" applyFont="1"/>
    <xf numFmtId="0" fontId="35" fillId="2" borderId="0" xfId="2" applyFont="1" applyFill="1" applyAlignment="1">
      <alignment horizontal="center"/>
    </xf>
    <xf numFmtId="170" fontId="6" fillId="0" borderId="0" xfId="2" applyNumberFormat="1" applyFont="1" applyAlignment="1">
      <alignment horizontal="center"/>
    </xf>
    <xf numFmtId="0" fontId="5" fillId="0" borderId="5" xfId="2" applyFont="1" applyBorder="1"/>
    <xf numFmtId="0" fontId="5" fillId="0" borderId="5" xfId="2" applyFont="1" applyBorder="1" applyAlignment="1">
      <alignment horizontal="center"/>
    </xf>
    <xf numFmtId="17" fontId="5" fillId="0" borderId="0" xfId="2" applyNumberFormat="1" applyFont="1"/>
    <xf numFmtId="165" fontId="22" fillId="0" borderId="0" xfId="2" applyNumberFormat="1" applyFont="1"/>
    <xf numFmtId="0" fontId="4" fillId="0" borderId="0" xfId="2" applyFont="1" applyAlignment="1">
      <alignment horizontal="left" wrapText="1"/>
    </xf>
    <xf numFmtId="0" fontId="33" fillId="0" borderId="36" xfId="2" applyFont="1" applyBorder="1"/>
    <xf numFmtId="17" fontId="4" fillId="0" borderId="0" xfId="2" applyNumberFormat="1" applyFont="1" applyAlignment="1">
      <alignment horizontal="center" vertical="center"/>
    </xf>
    <xf numFmtId="165" fontId="6" fillId="0" borderId="36" xfId="2" applyNumberFormat="1" applyFont="1" applyBorder="1"/>
    <xf numFmtId="167" fontId="4" fillId="0" borderId="0" xfId="14" applyFont="1"/>
    <xf numFmtId="9" fontId="4" fillId="0" borderId="0" xfId="2" applyNumberFormat="1" applyFont="1"/>
    <xf numFmtId="0" fontId="2" fillId="0" borderId="38" xfId="0" applyFont="1" applyBorder="1"/>
    <xf numFmtId="0" fontId="2" fillId="0" borderId="2" xfId="0" applyFont="1" applyBorder="1"/>
    <xf numFmtId="172" fontId="0" fillId="0" borderId="0" xfId="14" applyNumberFormat="1" applyFont="1" applyBorder="1"/>
    <xf numFmtId="172" fontId="0" fillId="0" borderId="3" xfId="14" applyNumberFormat="1" applyFont="1" applyBorder="1"/>
    <xf numFmtId="0" fontId="2" fillId="0" borderId="4" xfId="0" applyFont="1" applyBorder="1"/>
    <xf numFmtId="172" fontId="0" fillId="0" borderId="5" xfId="14" applyNumberFormat="1" applyFont="1" applyBorder="1"/>
    <xf numFmtId="172" fontId="0" fillId="0" borderId="6" xfId="14" applyNumberFormat="1" applyFont="1" applyBorder="1"/>
    <xf numFmtId="172" fontId="2" fillId="0" borderId="7" xfId="14" applyNumberFormat="1" applyFont="1" applyBorder="1"/>
    <xf numFmtId="172" fontId="2" fillId="0" borderId="9" xfId="14" applyNumberFormat="1" applyFont="1" applyBorder="1"/>
    <xf numFmtId="172" fontId="2" fillId="0" borderId="8" xfId="14" applyNumberFormat="1" applyFont="1" applyBorder="1"/>
    <xf numFmtId="172" fontId="2" fillId="0" borderId="37" xfId="14" applyNumberFormat="1" applyFont="1" applyBorder="1"/>
    <xf numFmtId="176" fontId="0" fillId="0" borderId="38" xfId="0" applyNumberFormat="1" applyBorder="1" applyAlignment="1">
      <alignment horizontal="center" vertical="center"/>
    </xf>
    <xf numFmtId="176" fontId="0" fillId="0" borderId="2" xfId="0" applyNumberFormat="1" applyBorder="1" applyAlignment="1">
      <alignment horizontal="center" vertical="center"/>
    </xf>
    <xf numFmtId="176" fontId="0" fillId="0" borderId="4" xfId="0" applyNumberFormat="1" applyBorder="1" applyAlignment="1">
      <alignment horizontal="center" vertical="center"/>
    </xf>
    <xf numFmtId="172" fontId="0" fillId="0" borderId="2" xfId="14" applyNumberFormat="1" applyFont="1" applyBorder="1"/>
    <xf numFmtId="172" fontId="0" fillId="0" borderId="4" xfId="14" applyNumberFormat="1" applyFont="1" applyBorder="1"/>
    <xf numFmtId="0" fontId="37" fillId="0" borderId="0" xfId="0" applyFont="1" applyAlignment="1">
      <alignment horizontal="center"/>
    </xf>
    <xf numFmtId="0" fontId="37" fillId="10" borderId="0" xfId="0" applyFont="1" applyFill="1" applyAlignment="1">
      <alignment horizontal="center"/>
    </xf>
    <xf numFmtId="0" fontId="2" fillId="11" borderId="7" xfId="0" applyFont="1" applyFill="1" applyBorder="1" applyAlignment="1">
      <alignment horizontal="center"/>
    </xf>
    <xf numFmtId="0" fontId="2" fillId="11" borderId="9" xfId="0" applyFont="1" applyFill="1" applyBorder="1" applyAlignment="1">
      <alignment horizontal="center"/>
    </xf>
    <xf numFmtId="0" fontId="2" fillId="11" borderId="8" xfId="0" applyFont="1" applyFill="1" applyBorder="1" applyAlignment="1">
      <alignment horizontal="center"/>
    </xf>
    <xf numFmtId="9" fontId="2" fillId="11" borderId="38" xfId="0" applyNumberFormat="1" applyFont="1" applyFill="1" applyBorder="1" applyAlignment="1">
      <alignment horizontal="center"/>
    </xf>
    <xf numFmtId="9" fontId="2" fillId="11" borderId="39" xfId="0" applyNumberFormat="1" applyFont="1" applyFill="1" applyBorder="1" applyAlignment="1">
      <alignment horizontal="center"/>
    </xf>
    <xf numFmtId="9" fontId="2" fillId="11" borderId="40" xfId="0" applyNumberFormat="1" applyFont="1" applyFill="1" applyBorder="1" applyAlignment="1">
      <alignment horizontal="center"/>
    </xf>
    <xf numFmtId="0" fontId="2" fillId="11" borderId="7" xfId="0" applyFont="1" applyFill="1" applyBorder="1"/>
    <xf numFmtId="172" fontId="0" fillId="0" borderId="41" xfId="14" applyNumberFormat="1" applyFont="1" applyBorder="1"/>
    <xf numFmtId="172" fontId="0" fillId="0" borderId="42" xfId="14" applyNumberFormat="1" applyFont="1" applyBorder="1"/>
    <xf numFmtId="10" fontId="0" fillId="0" borderId="43" xfId="0" applyNumberFormat="1" applyBorder="1" applyAlignment="1">
      <alignment horizontal="center" vertical="center"/>
    </xf>
    <xf numFmtId="10" fontId="0" fillId="0" borderId="41" xfId="0" applyNumberFormat="1" applyBorder="1" applyAlignment="1">
      <alignment horizontal="center" vertical="center"/>
    </xf>
    <xf numFmtId="0" fontId="2" fillId="0" borderId="44" xfId="0" applyFont="1" applyBorder="1"/>
    <xf numFmtId="10" fontId="0" fillId="0" borderId="45" xfId="0" applyNumberFormat="1" applyBorder="1" applyAlignment="1">
      <alignment horizontal="center" vertical="center"/>
    </xf>
    <xf numFmtId="176" fontId="0" fillId="0" borderId="43" xfId="0" applyNumberFormat="1" applyBorder="1" applyAlignment="1">
      <alignment horizontal="center" vertical="center"/>
    </xf>
    <xf numFmtId="176" fontId="0" fillId="0" borderId="41" xfId="0" applyNumberFormat="1" applyBorder="1" applyAlignment="1">
      <alignment horizontal="center" vertical="center"/>
    </xf>
    <xf numFmtId="176" fontId="0" fillId="0" borderId="45" xfId="0" applyNumberFormat="1" applyBorder="1" applyAlignment="1">
      <alignment horizontal="center" vertical="center"/>
    </xf>
    <xf numFmtId="172" fontId="0" fillId="0" borderId="0" xfId="0" applyNumberFormat="1"/>
    <xf numFmtId="0" fontId="0" fillId="0" borderId="38" xfId="0" applyBorder="1"/>
    <xf numFmtId="0" fontId="0" fillId="0" borderId="39" xfId="0" applyBorder="1"/>
    <xf numFmtId="0" fontId="0" fillId="0" borderId="40" xfId="0" applyBorder="1"/>
    <xf numFmtId="0" fontId="0" fillId="0" borderId="3" xfId="0" applyBorder="1"/>
    <xf numFmtId="0" fontId="0" fillId="0" borderId="2" xfId="0" applyBorder="1"/>
    <xf numFmtId="0" fontId="0" fillId="0" borderId="4" xfId="0" applyBorder="1"/>
    <xf numFmtId="0" fontId="2" fillId="0" borderId="5" xfId="0" applyFont="1" applyBorder="1"/>
    <xf numFmtId="0" fontId="0" fillId="0" borderId="6" xfId="0" applyBorder="1"/>
    <xf numFmtId="172" fontId="2" fillId="0" borderId="3" xfId="0" applyNumberFormat="1" applyFont="1" applyBorder="1"/>
    <xf numFmtId="172" fontId="2" fillId="0" borderId="0" xfId="14" applyNumberFormat="1" applyFont="1" applyBorder="1"/>
    <xf numFmtId="172" fontId="0" fillId="0" borderId="17" xfId="0" applyNumberFormat="1" applyBorder="1"/>
    <xf numFmtId="10" fontId="2" fillId="0" borderId="17" xfId="0" applyNumberFormat="1" applyFont="1" applyBorder="1"/>
    <xf numFmtId="172" fontId="0" fillId="0" borderId="17" xfId="14" applyNumberFormat="1" applyFont="1" applyBorder="1"/>
    <xf numFmtId="172" fontId="0" fillId="0" borderId="18" xfId="0" applyNumberFormat="1" applyBorder="1"/>
    <xf numFmtId="10" fontId="2" fillId="0" borderId="18" xfId="0" applyNumberFormat="1" applyFont="1" applyBorder="1"/>
    <xf numFmtId="172" fontId="0" fillId="0" borderId="18" xfId="14" applyNumberFormat="1" applyFont="1" applyBorder="1"/>
    <xf numFmtId="0" fontId="2" fillId="11" borderId="37" xfId="0" applyFont="1" applyFill="1" applyBorder="1" applyAlignment="1">
      <alignment horizontal="center"/>
    </xf>
    <xf numFmtId="172" fontId="0" fillId="0" borderId="25" xfId="0" applyNumberFormat="1" applyBorder="1"/>
    <xf numFmtId="172" fontId="0" fillId="0" borderId="21" xfId="0" applyNumberFormat="1" applyBorder="1"/>
    <xf numFmtId="172" fontId="0" fillId="0" borderId="35" xfId="0" applyNumberFormat="1" applyBorder="1"/>
    <xf numFmtId="10" fontId="2" fillId="0" borderId="35" xfId="0" applyNumberFormat="1" applyFont="1" applyBorder="1"/>
    <xf numFmtId="172" fontId="0" fillId="0" borderId="35" xfId="14" applyNumberFormat="1" applyFont="1" applyBorder="1"/>
    <xf numFmtId="172" fontId="0" fillId="0" borderId="29" xfId="0" applyNumberFormat="1" applyBorder="1"/>
    <xf numFmtId="0" fontId="0" fillId="0" borderId="18" xfId="0" applyBorder="1"/>
    <xf numFmtId="167" fontId="1" fillId="0" borderId="18" xfId="14" applyFont="1" applyBorder="1"/>
    <xf numFmtId="0" fontId="0" fillId="0" borderId="17" xfId="0" applyBorder="1"/>
    <xf numFmtId="167" fontId="1" fillId="0" borderId="17" xfId="14" applyFont="1" applyBorder="1"/>
    <xf numFmtId="0" fontId="0" fillId="0" borderId="35" xfId="0" applyBorder="1"/>
    <xf numFmtId="167" fontId="1" fillId="0" borderId="35" xfId="14" applyFont="1" applyBorder="1"/>
    <xf numFmtId="176" fontId="26" fillId="0" borderId="0" xfId="6" applyNumberFormat="1" applyFont="1" applyFill="1" applyBorder="1" applyAlignment="1">
      <alignment horizontal="right" vertical="center"/>
    </xf>
    <xf numFmtId="42" fontId="25" fillId="0" borderId="0" xfId="6" applyNumberFormat="1" applyFont="1" applyFill="1" applyBorder="1" applyAlignment="1">
      <alignment horizontal="right" vertical="center"/>
    </xf>
    <xf numFmtId="164" fontId="25" fillId="0" borderId="0" xfId="6" applyFont="1" applyFill="1" applyBorder="1" applyAlignment="1">
      <alignment horizontal="right" vertical="center"/>
    </xf>
    <xf numFmtId="2" fontId="26" fillId="0" borderId="0" xfId="6" applyNumberFormat="1" applyFont="1" applyFill="1" applyBorder="1" applyAlignment="1">
      <alignment horizontal="right" vertical="center"/>
    </xf>
    <xf numFmtId="0" fontId="24" fillId="0" borderId="0" xfId="2" applyFont="1" applyAlignment="1">
      <alignment horizontal="center" vertical="top" wrapText="1"/>
    </xf>
    <xf numFmtId="0" fontId="25" fillId="0" borderId="0" xfId="2" applyFont="1" applyAlignment="1">
      <alignment horizontal="left"/>
    </xf>
    <xf numFmtId="0" fontId="6" fillId="3" borderId="5" xfId="2" applyFont="1" applyFill="1" applyBorder="1" applyAlignment="1">
      <alignment horizontal="left"/>
    </xf>
    <xf numFmtId="0" fontId="29" fillId="0" borderId="0" xfId="2" applyFont="1" applyAlignment="1">
      <alignment horizontal="center"/>
    </xf>
    <xf numFmtId="0" fontId="29" fillId="0" borderId="5" xfId="2" applyFont="1" applyBorder="1" applyAlignment="1">
      <alignment horizontal="center"/>
    </xf>
    <xf numFmtId="0" fontId="6" fillId="3" borderId="5" xfId="2" applyFont="1" applyFill="1" applyBorder="1" applyAlignment="1">
      <alignment horizontal="center"/>
    </xf>
    <xf numFmtId="0" fontId="4" fillId="0" borderId="0" xfId="2" applyFont="1" applyAlignment="1">
      <alignment horizontal="center"/>
    </xf>
    <xf numFmtId="0" fontId="5" fillId="0" borderId="0" xfId="2" applyFont="1" applyAlignment="1">
      <alignment horizontal="center"/>
    </xf>
    <xf numFmtId="0" fontId="26" fillId="0" borderId="0" xfId="2" applyFont="1" applyAlignment="1">
      <alignment horizontal="center"/>
    </xf>
    <xf numFmtId="0" fontId="19" fillId="3" borderId="0" xfId="0" applyFont="1" applyFill="1" applyAlignment="1">
      <alignment horizontal="left"/>
    </xf>
    <xf numFmtId="0" fontId="19" fillId="3" borderId="0" xfId="0" applyFont="1" applyFill="1" applyAlignment="1">
      <alignment horizontal="left" vertical="center"/>
    </xf>
    <xf numFmtId="0" fontId="19" fillId="3" borderId="5" xfId="0" applyFont="1" applyFill="1" applyBorder="1" applyAlignment="1">
      <alignment horizontal="left" vertical="center"/>
    </xf>
    <xf numFmtId="2" fontId="10" fillId="3" borderId="0" xfId="9" applyNumberFormat="1" applyFont="1" applyFill="1" applyAlignment="1">
      <alignment horizontal="center" vertical="center"/>
    </xf>
    <xf numFmtId="2" fontId="15" fillId="6" borderId="0" xfId="9" applyNumberFormat="1" applyFont="1" applyFill="1" applyAlignment="1">
      <alignment horizontal="center" vertical="justify"/>
    </xf>
    <xf numFmtId="0" fontId="9" fillId="2" borderId="0" xfId="9" applyFont="1" applyFill="1" applyAlignment="1">
      <alignment horizontal="center"/>
    </xf>
    <xf numFmtId="0" fontId="14" fillId="6" borderId="0" xfId="9" applyFont="1" applyFill="1" applyAlignment="1">
      <alignment horizontal="center" vertical="center"/>
    </xf>
    <xf numFmtId="0" fontId="10" fillId="3" borderId="0" xfId="9" applyFont="1" applyFill="1" applyAlignment="1">
      <alignment horizontal="center" vertical="center" wrapText="1"/>
    </xf>
    <xf numFmtId="176" fontId="10" fillId="3" borderId="0" xfId="10" applyNumberFormat="1" applyFont="1" applyFill="1" applyBorder="1" applyAlignment="1">
      <alignment horizontal="center" vertical="center"/>
    </xf>
    <xf numFmtId="0" fontId="10" fillId="2" borderId="14" xfId="9" applyFont="1" applyFill="1" applyBorder="1" applyAlignment="1">
      <alignment horizontal="center" vertical="justify"/>
    </xf>
    <xf numFmtId="0" fontId="10" fillId="2" borderId="0" xfId="9" applyFont="1" applyFill="1" applyAlignment="1">
      <alignment horizontal="center" vertical="justify"/>
    </xf>
    <xf numFmtId="0" fontId="10" fillId="0" borderId="17" xfId="9" applyFont="1" applyBorder="1" applyAlignment="1">
      <alignment horizontal="center"/>
    </xf>
    <xf numFmtId="0" fontId="11" fillId="2" borderId="14" xfId="9" applyFont="1" applyFill="1" applyBorder="1" applyAlignment="1">
      <alignment horizontal="left"/>
    </xf>
    <xf numFmtId="0" fontId="11" fillId="2" borderId="0" xfId="9" applyFont="1" applyFill="1" applyAlignment="1">
      <alignment horizontal="left"/>
    </xf>
    <xf numFmtId="0" fontId="11" fillId="2" borderId="13" xfId="9" applyFont="1" applyFill="1" applyBorder="1" applyAlignment="1">
      <alignment horizontal="left"/>
    </xf>
    <xf numFmtId="0" fontId="11" fillId="2" borderId="14" xfId="9" applyFont="1" applyFill="1" applyBorder="1" applyAlignment="1">
      <alignment horizontal="left" vertical="center" wrapText="1"/>
    </xf>
    <xf numFmtId="0" fontId="11" fillId="2" borderId="0" xfId="9" applyFont="1" applyFill="1" applyAlignment="1">
      <alignment horizontal="left" vertical="center" wrapText="1"/>
    </xf>
    <xf numFmtId="0" fontId="11" fillId="2" borderId="13" xfId="9" applyFont="1" applyFill="1" applyBorder="1" applyAlignment="1">
      <alignment horizontal="left" vertical="center" wrapText="1"/>
    </xf>
    <xf numFmtId="0" fontId="12" fillId="0" borderId="14" xfId="11" applyFont="1" applyBorder="1" applyAlignment="1">
      <alignment horizontal="left" vertical="center"/>
    </xf>
    <xf numFmtId="0" fontId="12" fillId="0" borderId="0" xfId="11" applyFont="1" applyAlignment="1">
      <alignment horizontal="left" vertical="center"/>
    </xf>
    <xf numFmtId="0" fontId="12" fillId="0" borderId="13" xfId="11" applyFont="1" applyBorder="1" applyAlignment="1">
      <alignment horizontal="left" vertical="center"/>
    </xf>
    <xf numFmtId="0" fontId="12" fillId="2" borderId="14" xfId="9" applyFont="1" applyFill="1" applyBorder="1" applyAlignment="1">
      <alignment horizontal="left" vertical="center" wrapText="1"/>
    </xf>
    <xf numFmtId="0" fontId="12" fillId="2" borderId="0" xfId="9" applyFont="1" applyFill="1" applyAlignment="1">
      <alignment horizontal="left" vertical="center" wrapText="1"/>
    </xf>
    <xf numFmtId="0" fontId="12" fillId="2" borderId="13" xfId="9" applyFont="1" applyFill="1" applyBorder="1" applyAlignment="1">
      <alignment horizontal="left" vertical="center" wrapText="1"/>
    </xf>
    <xf numFmtId="0" fontId="11" fillId="2" borderId="12" xfId="9" applyFont="1" applyFill="1" applyBorder="1" applyAlignment="1">
      <alignment horizontal="left"/>
    </xf>
    <xf numFmtId="0" fontId="11" fillId="2" borderId="11" xfId="9" applyFont="1" applyFill="1" applyBorder="1" applyAlignment="1">
      <alignment horizontal="left"/>
    </xf>
    <xf numFmtId="0" fontId="11" fillId="2" borderId="10" xfId="9" applyFont="1" applyFill="1" applyBorder="1" applyAlignment="1">
      <alignment horizontal="left"/>
    </xf>
    <xf numFmtId="0" fontId="11" fillId="2" borderId="16" xfId="9" applyFont="1" applyFill="1" applyBorder="1" applyAlignment="1">
      <alignment horizontal="left"/>
    </xf>
    <xf numFmtId="0" fontId="11" fillId="2" borderId="1" xfId="9" applyFont="1" applyFill="1" applyBorder="1" applyAlignment="1">
      <alignment horizontal="left"/>
    </xf>
    <xf numFmtId="0" fontId="11" fillId="2" borderId="15" xfId="9" applyFont="1" applyFill="1" applyBorder="1" applyAlignment="1">
      <alignment horizontal="left"/>
    </xf>
    <xf numFmtId="0" fontId="31" fillId="8" borderId="28" xfId="0" applyFont="1" applyFill="1" applyBorder="1" applyAlignment="1">
      <alignment horizontal="center"/>
    </xf>
    <xf numFmtId="0" fontId="31" fillId="8" borderId="35" xfId="0" applyFont="1" applyFill="1" applyBorder="1" applyAlignment="1">
      <alignment horizontal="center"/>
    </xf>
    <xf numFmtId="0" fontId="31" fillId="7" borderId="28" xfId="0" applyFont="1" applyFill="1" applyBorder="1" applyAlignment="1">
      <alignment horizontal="center"/>
    </xf>
    <xf numFmtId="0" fontId="31" fillId="7" borderId="35" xfId="0" applyFont="1" applyFill="1" applyBorder="1" applyAlignment="1">
      <alignment horizontal="center"/>
    </xf>
  </cellXfs>
  <cellStyles count="15">
    <cellStyle name="Comma" xfId="14" builtinId="3"/>
    <cellStyle name="Comma [0]" xfId="8" builtinId="6"/>
    <cellStyle name="Currency [0]" xfId="1" builtinId="7"/>
    <cellStyle name="Millares 2" xfId="3" xr:uid="{E01236A8-D1A3-5A44-ACB4-376D65C37AD2}"/>
    <cellStyle name="Moneda [0] 2" xfId="6" xr:uid="{94C2DF99-FB31-8049-8984-4DB4AC7EE2A7}"/>
    <cellStyle name="Moneda 2" xfId="5" xr:uid="{27AA9CF2-EAF1-0549-964A-7E9C9577C8D3}"/>
    <cellStyle name="Normal" xfId="0" builtinId="0"/>
    <cellStyle name="Normal 2" xfId="2" xr:uid="{0CB4748D-F020-4641-B6D3-D301097A88C2}"/>
    <cellStyle name="Normal 2 2" xfId="12" xr:uid="{61BC0584-3A5D-4649-9111-1BEFBA512A8F}"/>
    <cellStyle name="Normal 3" xfId="9" xr:uid="{4D20FC13-3B3D-CC48-9C78-DB34598181A7}"/>
    <cellStyle name="Normal 3 2" xfId="13" xr:uid="{2B79A799-5E27-D04A-9F4E-11819BED3C97}"/>
    <cellStyle name="Normal 8 2" xfId="11" xr:uid="{F6CDF638-1B6E-D642-BC53-F2F4F659E814}"/>
    <cellStyle name="Percent" xfId="7" builtinId="5"/>
    <cellStyle name="Porcentaje 2" xfId="4" xr:uid="{ED95CF0D-66FB-E849-929A-B455827E1D3F}"/>
    <cellStyle name="Porcentaje 3" xfId="10" xr:uid="{A9463793-3A18-A24C-81CC-9E17E9F2B9A3}"/>
  </cellStyles>
  <dxfs count="39">
    <dxf>
      <font>
        <color rgb="FF9C0006"/>
      </font>
      <fill>
        <patternFill>
          <bgColor rgb="FFFFC7CE"/>
        </patternFill>
      </fill>
    </dxf>
    <dxf>
      <font>
        <color rgb="FF9C0006"/>
      </font>
    </dxf>
    <dxf>
      <font>
        <color theme="9" tint="-0.24994659260841701"/>
      </font>
    </dxf>
    <dxf>
      <font>
        <color rgb="FF9C0006"/>
      </font>
    </dxf>
    <dxf>
      <font>
        <color theme="9" tint="-0.24994659260841701"/>
      </font>
    </dxf>
    <dxf>
      <font>
        <color rgb="FF9C0006"/>
      </font>
    </dxf>
    <dxf>
      <font>
        <color theme="9" tint="-0.24994659260841701"/>
      </font>
    </dxf>
    <dxf>
      <font>
        <color rgb="FF9C0006"/>
      </font>
    </dxf>
    <dxf>
      <font>
        <color theme="9" tint="-0.24994659260841701"/>
      </font>
    </dxf>
    <dxf>
      <font>
        <b/>
        <strike val="0"/>
        <outline val="0"/>
        <shadow val="0"/>
        <u val="none"/>
        <vertAlign val="baseline"/>
        <sz val="11"/>
        <color theme="9" tint="-0.499984740745262"/>
        <name val="Calibri Light"/>
        <family val="2"/>
        <scheme val="major"/>
      </font>
    </dxf>
    <dxf>
      <font>
        <b val="0"/>
        <i val="0"/>
        <strike val="0"/>
        <condense val="0"/>
        <extend val="0"/>
        <outline val="0"/>
        <shadow val="0"/>
        <u val="none"/>
        <vertAlign val="baseline"/>
        <sz val="11"/>
        <color theme="1"/>
        <name val="Calibri Light"/>
        <family val="2"/>
        <scheme val="major"/>
      </font>
      <numFmt numFmtId="172" formatCode="_-* #,##0_-;\-* #,##0_-;_-* &quot;-&quot;??_-;_-@_-"/>
    </dxf>
    <dxf>
      <font>
        <b/>
        <i val="0"/>
        <strike val="0"/>
        <condense val="0"/>
        <extend val="0"/>
        <outline val="0"/>
        <shadow val="0"/>
        <u val="none"/>
        <vertAlign val="baseline"/>
        <sz val="11"/>
        <color theme="1"/>
        <name val="Calibri Light"/>
        <family val="2"/>
        <scheme val="major"/>
      </font>
    </dxf>
    <dxf>
      <font>
        <b val="0"/>
        <i val="0"/>
        <strike val="0"/>
        <condense val="0"/>
        <extend val="0"/>
        <outline val="0"/>
        <shadow val="0"/>
        <u val="none"/>
        <vertAlign val="baseline"/>
        <sz val="11"/>
        <color theme="1"/>
        <name val="Calibri Light"/>
        <family val="2"/>
        <scheme val="major"/>
      </font>
    </dxf>
    <dxf>
      <font>
        <b/>
      </font>
    </dxf>
    <dxf>
      <font>
        <b/>
      </font>
    </dxf>
    <dxf>
      <font>
        <b/>
        <i val="0"/>
        <strike val="0"/>
        <condense val="0"/>
        <extend val="0"/>
        <outline val="0"/>
        <shadow val="0"/>
        <u val="none"/>
        <vertAlign val="baseline"/>
        <sz val="11"/>
        <color theme="1"/>
        <name val="Calibri Light"/>
        <family val="2"/>
        <scheme val="major"/>
      </font>
      <numFmt numFmtId="170" formatCode="_-&quot;$&quot;* #,##0_-;\-&quot;$&quot;* #,##0_-;_-&quot;$&quot;*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numFmt numFmtId="170" formatCode="_-&quot;$&quot;* #,##0_-;\-&quot;$&quot;* #,##0_-;_-&quot;$&quot;*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numFmt numFmtId="170" formatCode="_-&quot;$&quot;* #,##0_-;\-&quot;$&quot;* #,##0_-;_-&quot;$&quot;*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numFmt numFmtId="170" formatCode="_-&quot;$&quot;* #,##0_-;\-&quot;$&quot;* #,##0_-;_-&quot;$&quot;*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numFmt numFmtId="170" formatCode="_-&quot;$&quot;* #,##0_-;\-&quot;$&quot;* #,##0_-;_-&quot;$&quot;*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numFmt numFmtId="170" formatCode="_-&quot;$&quot;* #,##0_-;\-&quot;$&quot;* #,##0_-;_-&quot;$&quot;*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dxf>
    <dxf>
      <font>
        <b val="0"/>
        <i val="0"/>
        <strike val="0"/>
        <condense val="0"/>
        <extend val="0"/>
        <outline val="0"/>
        <shadow val="0"/>
        <u val="none"/>
        <vertAlign val="baseline"/>
        <sz val="11"/>
        <color theme="1"/>
        <name val="Calibri Light"/>
        <family val="2"/>
        <scheme val="major"/>
      </font>
    </dxf>
    <dxf>
      <font>
        <b/>
        <i val="0"/>
        <strike val="0"/>
        <condense val="0"/>
        <extend val="0"/>
        <outline val="0"/>
        <shadow val="0"/>
        <u val="none"/>
        <vertAlign val="baseline"/>
        <sz val="11"/>
        <color theme="1"/>
        <name val="Calibri Light"/>
        <family val="2"/>
        <scheme val="major"/>
      </font>
    </dxf>
    <dxf>
      <font>
        <b/>
        <strike val="0"/>
        <outline val="0"/>
        <shadow val="0"/>
        <u val="none"/>
        <vertAlign val="baseline"/>
        <sz val="11"/>
        <color theme="9" tint="-0.499984740745262"/>
        <name val="Calibri Light"/>
        <family val="2"/>
        <scheme val="major"/>
      </font>
    </dxf>
    <dxf>
      <font>
        <b val="0"/>
        <i val="0"/>
        <strike val="0"/>
        <condense val="0"/>
        <extend val="0"/>
        <outline val="0"/>
        <shadow val="0"/>
        <u val="none"/>
        <vertAlign val="baseline"/>
        <sz val="11"/>
        <color theme="1"/>
        <name val="Calibri Light"/>
        <family val="2"/>
        <scheme val="major"/>
      </font>
      <numFmt numFmtId="172" formatCode="_-* #,##0_-;\-* #,##0_-;_-* &quot;-&quot;??_-;_-@_-"/>
    </dxf>
    <dxf>
      <font>
        <b/>
        <i val="0"/>
        <strike val="0"/>
        <condense val="0"/>
        <extend val="0"/>
        <outline val="0"/>
        <shadow val="0"/>
        <u val="none"/>
        <vertAlign val="baseline"/>
        <sz val="11"/>
        <color theme="1"/>
        <name val="Calibri Light"/>
        <family val="2"/>
        <scheme val="major"/>
      </font>
    </dxf>
    <dxf>
      <font>
        <b val="0"/>
        <i val="0"/>
        <strike val="0"/>
        <condense val="0"/>
        <extend val="0"/>
        <outline val="0"/>
        <shadow val="0"/>
        <u val="none"/>
        <vertAlign val="baseline"/>
        <sz val="11"/>
        <color theme="1"/>
        <name val="Calibri Light"/>
        <family val="2"/>
        <scheme val="major"/>
      </font>
    </dxf>
    <dxf>
      <font>
        <b/>
      </font>
    </dxf>
    <dxf>
      <font>
        <b/>
      </font>
    </dxf>
    <dxf>
      <font>
        <b/>
        <i val="0"/>
        <strike val="0"/>
        <condense val="0"/>
        <extend val="0"/>
        <outline val="0"/>
        <shadow val="0"/>
        <u val="none"/>
        <vertAlign val="baseline"/>
        <sz val="11"/>
        <color theme="1"/>
        <name val="Calibri Light"/>
        <family val="2"/>
        <scheme val="major"/>
      </font>
      <numFmt numFmtId="170" formatCode="_-&quot;$&quot;* #,##0_-;\-&quot;$&quot;* #,##0_-;_-&quot;$&quot;*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numFmt numFmtId="170" formatCode="_-&quot;$&quot;* #,##0_-;\-&quot;$&quot;* #,##0_-;_-&quot;$&quot;*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numFmt numFmtId="170" formatCode="_-&quot;$&quot;* #,##0_-;\-&quot;$&quot;* #,##0_-;_-&quot;$&quot;*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numFmt numFmtId="170" formatCode="_-&quot;$&quot;* #,##0_-;\-&quot;$&quot;* #,##0_-;_-&quot;$&quot;*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numFmt numFmtId="170" formatCode="_-&quot;$&quot;* #,##0_-;\-&quot;$&quot;* #,##0_-;_-&quot;$&quot;*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numFmt numFmtId="170" formatCode="_-&quot;$&quot;* #,##0_-;\-&quot;$&quot;* #,##0_-;_-&quot;$&quot;*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dxf>
    <dxf>
      <font>
        <b val="0"/>
        <i val="0"/>
        <strike val="0"/>
        <condense val="0"/>
        <extend val="0"/>
        <outline val="0"/>
        <shadow val="0"/>
        <u val="none"/>
        <vertAlign val="baseline"/>
        <sz val="11"/>
        <color rgb="FF000000"/>
        <name val="Calibri Light"/>
        <family val="2"/>
        <scheme val="none"/>
      </font>
    </dxf>
    <dxf>
      <font>
        <b/>
        <i val="0"/>
        <strike val="0"/>
        <condense val="0"/>
        <extend val="0"/>
        <outline val="0"/>
        <shadow val="0"/>
        <u val="none"/>
        <vertAlign val="baseline"/>
        <sz val="11"/>
        <color theme="1"/>
        <name val="Calibri Light"/>
        <family val="2"/>
        <scheme val="major"/>
      </font>
    </dxf>
  </dxfs>
  <tableStyles count="0" defaultTableStyle="TableStyleMedium2" defaultPivotStyle="PivotStyleLight16"/>
  <colors>
    <mruColors>
      <color rgb="FF0000FF"/>
      <color rgb="FF60A6FF"/>
      <color rgb="FF5A89A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0000FF"/>
                </a:solidFill>
                <a:latin typeface="+mn-lt"/>
                <a:ea typeface="+mn-ea"/>
                <a:cs typeface="+mn-cs"/>
              </a:defRPr>
            </a:pPr>
            <a:r>
              <a:rPr lang="es-CO" b="1">
                <a:solidFill>
                  <a:srgbClr val="0000FF"/>
                </a:solidFill>
                <a:latin typeface="Suisse Int'l" panose="020B0504000000000000" pitchFamily="34" charset="0"/>
              </a:rPr>
              <a:t>Flujo de caja libre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00FF"/>
              </a:solidFill>
              <a:latin typeface="+mn-lt"/>
              <a:ea typeface="+mn-ea"/>
              <a:cs typeface="+mn-cs"/>
            </a:defRPr>
          </a:pPr>
          <a:endParaRPr lang="es-CO"/>
        </a:p>
      </c:txPr>
    </c:title>
    <c:autoTitleDeleted val="0"/>
    <c:plotArea>
      <c:layout/>
      <c:barChart>
        <c:barDir val="col"/>
        <c:grouping val="clustered"/>
        <c:varyColors val="0"/>
        <c:ser>
          <c:idx val="0"/>
          <c:order val="0"/>
          <c:spPr>
            <a:solidFill>
              <a:srgbClr val="0000FF"/>
            </a:solidFill>
            <a:ln>
              <a:noFill/>
            </a:ln>
            <a:effectLst/>
          </c:spPr>
          <c:invertIfNegative val="0"/>
          <c:cat>
            <c:numRef>
              <c:f>'FC - BT Proyecto'!$C$58:$AG$58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'FC - BT Proyecto'!$C$67:$AG$67</c:f>
              <c:numCache>
                <c:formatCode>_-"$"* #,##0_-;\-"$"* #,##0_-;_-"$"* "-"_-;_-@_-</c:formatCode>
                <c:ptCount val="31"/>
                <c:pt idx="0">
                  <c:v>-3750000000</c:v>
                </c:pt>
                <c:pt idx="1">
                  <c:v>331513350.66666669</c:v>
                </c:pt>
                <c:pt idx="2">
                  <c:v>951740795.87420738</c:v>
                </c:pt>
                <c:pt idx="3">
                  <c:v>862694290.32364368</c:v>
                </c:pt>
                <c:pt idx="4">
                  <c:v>969805111.37918961</c:v>
                </c:pt>
                <c:pt idx="5">
                  <c:v>936931912.47311044</c:v>
                </c:pt>
                <c:pt idx="6">
                  <c:v>917938025.40976095</c:v>
                </c:pt>
                <c:pt idx="7">
                  <c:v>595884087.30480444</c:v>
                </c:pt>
                <c:pt idx="8">
                  <c:v>651741311.27962172</c:v>
                </c:pt>
                <c:pt idx="9">
                  <c:v>1292520100.6958704</c:v>
                </c:pt>
                <c:pt idx="10">
                  <c:v>1157214477.1797194</c:v>
                </c:pt>
                <c:pt idx="11">
                  <c:v>1182418875.4915202</c:v>
                </c:pt>
                <c:pt idx="12">
                  <c:v>1242659497.3419209</c:v>
                </c:pt>
                <c:pt idx="13">
                  <c:v>1327744718.2107105</c:v>
                </c:pt>
                <c:pt idx="14">
                  <c:v>1409686383.6107497</c:v>
                </c:pt>
                <c:pt idx="15">
                  <c:v>1472353968.930872</c:v>
                </c:pt>
                <c:pt idx="16">
                  <c:v>1517920894.813767</c:v>
                </c:pt>
                <c:pt idx="17">
                  <c:v>1588326017.0859427</c:v>
                </c:pt>
                <c:pt idx="18">
                  <c:v>1642166433.596035</c:v>
                </c:pt>
                <c:pt idx="19">
                  <c:v>1680859614.2919552</c:v>
                </c:pt>
                <c:pt idx="20">
                  <c:v>1429688370.5695729</c:v>
                </c:pt>
                <c:pt idx="21">
                  <c:v>1856309405.1673412</c:v>
                </c:pt>
                <c:pt idx="22">
                  <c:v>2077494229.2696943</c:v>
                </c:pt>
                <c:pt idx="23">
                  <c:v>2176549296.8352432</c:v>
                </c:pt>
                <c:pt idx="24">
                  <c:v>2225891758.0996056</c:v>
                </c:pt>
                <c:pt idx="25">
                  <c:v>2318734566.3305779</c:v>
                </c:pt>
                <c:pt idx="26">
                  <c:v>2389589320.7550268</c:v>
                </c:pt>
                <c:pt idx="27">
                  <c:v>2508978438.5603819</c:v>
                </c:pt>
                <c:pt idx="28">
                  <c:v>2633977479.7855973</c:v>
                </c:pt>
                <c:pt idx="29">
                  <c:v>2764849712.4537754</c:v>
                </c:pt>
                <c:pt idx="30">
                  <c:v>2901870706.5817757</c:v>
                </c:pt>
              </c:numCache>
            </c:numRef>
          </c:val>
          <c:extLst>
            <c:ext xmlns:c16="http://schemas.microsoft.com/office/drawing/2014/chart" uri="{C3380CC4-5D6E-409C-BE32-E72D297353CC}">
              <c16:uniqueId val="{00000000-DFCD-0E46-9A19-9B67DA78D8B2}"/>
            </c:ext>
          </c:extLst>
        </c:ser>
        <c:dLbls>
          <c:showLegendKey val="0"/>
          <c:showVal val="0"/>
          <c:showCatName val="0"/>
          <c:showSerName val="0"/>
          <c:showPercent val="0"/>
          <c:showBubbleSize val="0"/>
        </c:dLbls>
        <c:gapWidth val="219"/>
        <c:overlap val="-27"/>
        <c:axId val="2008570735"/>
        <c:axId val="2008574095"/>
      </c:barChart>
      <c:catAx>
        <c:axId val="2008570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08574095"/>
        <c:crosses val="autoZero"/>
        <c:auto val="1"/>
        <c:lblAlgn val="ctr"/>
        <c:lblOffset val="100"/>
        <c:noMultiLvlLbl val="0"/>
      </c:catAx>
      <c:valAx>
        <c:axId val="200857409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quot;$&quot;* #,##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2008570735"/>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0000FF"/>
                </a:solidFill>
                <a:latin typeface="+mn-lt"/>
                <a:ea typeface="+mn-ea"/>
                <a:cs typeface="+mn-cs"/>
              </a:defRPr>
            </a:pPr>
            <a:r>
              <a:rPr lang="es-CO" b="1">
                <a:solidFill>
                  <a:srgbClr val="0000FF"/>
                </a:solidFill>
                <a:latin typeface="Suisse Int'l" panose="020B0504000000000000" pitchFamily="34" charset="0"/>
              </a:rPr>
              <a:t>Flujo de caja libre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00FF"/>
              </a:solidFill>
              <a:latin typeface="+mn-lt"/>
              <a:ea typeface="+mn-ea"/>
              <a:cs typeface="+mn-cs"/>
            </a:defRPr>
          </a:pPr>
          <a:endParaRPr lang="es-CO"/>
        </a:p>
      </c:txPr>
    </c:title>
    <c:autoTitleDeleted val="0"/>
    <c:plotArea>
      <c:layout/>
      <c:barChart>
        <c:barDir val="col"/>
        <c:grouping val="clustered"/>
        <c:varyColors val="0"/>
        <c:ser>
          <c:idx val="0"/>
          <c:order val="0"/>
          <c:spPr>
            <a:solidFill>
              <a:srgbClr val="0000FF"/>
            </a:solidFill>
            <a:ln>
              <a:noFill/>
            </a:ln>
            <a:effectLst/>
          </c:spPr>
          <c:invertIfNegative val="0"/>
          <c:cat>
            <c:numRef>
              <c:f>'FC - BT Inversionista'!$C$52:$AG$52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'FC - BT Inversionista'!$C$61:$AG$61</c:f>
              <c:numCache>
                <c:formatCode>_-"$"* #,##0_-;\-"$"* #,##0_-;_-"$"* "-"_-;_-@_-</c:formatCode>
                <c:ptCount val="31"/>
                <c:pt idx="0">
                  <c:v>-4020000000</c:v>
                </c:pt>
                <c:pt idx="1">
                  <c:v>994864322.0480001</c:v>
                </c:pt>
                <c:pt idx="2">
                  <c:v>1666165755.2885652</c:v>
                </c:pt>
                <c:pt idx="3">
                  <c:v>967436835.35039306</c:v>
                </c:pt>
                <c:pt idx="4">
                  <c:v>507354200.52033073</c:v>
                </c:pt>
                <c:pt idx="5">
                  <c:v>547744384.22289908</c:v>
                </c:pt>
                <c:pt idx="6">
                  <c:v>603629636.26668477</c:v>
                </c:pt>
                <c:pt idx="7">
                  <c:v>574910041.99936318</c:v>
                </c:pt>
                <c:pt idx="8">
                  <c:v>506119430.26492059</c:v>
                </c:pt>
                <c:pt idx="9">
                  <c:v>442519992.26177323</c:v>
                </c:pt>
                <c:pt idx="10">
                  <c:v>333850834.04671967</c:v>
                </c:pt>
                <c:pt idx="11">
                  <c:v>599994137.1197679</c:v>
                </c:pt>
                <c:pt idx="12">
                  <c:v>677209374.75128102</c:v>
                </c:pt>
                <c:pt idx="13">
                  <c:v>632146447.27060091</c:v>
                </c:pt>
                <c:pt idx="14">
                  <c:v>718033762.09778833</c:v>
                </c:pt>
                <c:pt idx="15">
                  <c:v>656816832.47072935</c:v>
                </c:pt>
                <c:pt idx="16">
                  <c:v>817854973.44885027</c:v>
                </c:pt>
                <c:pt idx="17">
                  <c:v>758447902.32805336</c:v>
                </c:pt>
                <c:pt idx="18">
                  <c:v>829724291.17045093</c:v>
                </c:pt>
                <c:pt idx="19">
                  <c:v>882963075.41490006</c:v>
                </c:pt>
                <c:pt idx="20">
                  <c:v>598493857.94909096</c:v>
                </c:pt>
                <c:pt idx="21">
                  <c:v>877402694.02484441</c:v>
                </c:pt>
                <c:pt idx="22">
                  <c:v>970100058.13328266</c:v>
                </c:pt>
                <c:pt idx="23">
                  <c:v>1056009339.4701163</c:v>
                </c:pt>
                <c:pt idx="24">
                  <c:v>1098730981.7650485</c:v>
                </c:pt>
                <c:pt idx="25">
                  <c:v>1028109603.6170564</c:v>
                </c:pt>
                <c:pt idx="26">
                  <c:v>1100233932.3655438</c:v>
                </c:pt>
                <c:pt idx="27">
                  <c:v>1232538381.9715123</c:v>
                </c:pt>
                <c:pt idx="28">
                  <c:v>1286989278.8379142</c:v>
                </c:pt>
                <c:pt idx="29">
                  <c:v>1343803919.4010284</c:v>
                </c:pt>
                <c:pt idx="30">
                  <c:v>1403082550.7908597</c:v>
                </c:pt>
              </c:numCache>
            </c:numRef>
          </c:val>
          <c:extLst>
            <c:ext xmlns:c16="http://schemas.microsoft.com/office/drawing/2014/chart" uri="{C3380CC4-5D6E-409C-BE32-E72D297353CC}">
              <c16:uniqueId val="{00000000-9349-4C5B-842F-2B6866230137}"/>
            </c:ext>
          </c:extLst>
        </c:ser>
        <c:dLbls>
          <c:showLegendKey val="0"/>
          <c:showVal val="0"/>
          <c:showCatName val="0"/>
          <c:showSerName val="0"/>
          <c:showPercent val="0"/>
          <c:showBubbleSize val="0"/>
        </c:dLbls>
        <c:gapWidth val="219"/>
        <c:overlap val="-27"/>
        <c:axId val="2008570735"/>
        <c:axId val="2008574095"/>
      </c:barChart>
      <c:catAx>
        <c:axId val="2008570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08574095"/>
        <c:crosses val="autoZero"/>
        <c:auto val="1"/>
        <c:lblAlgn val="ctr"/>
        <c:lblOffset val="100"/>
        <c:noMultiLvlLbl val="0"/>
      </c:catAx>
      <c:valAx>
        <c:axId val="200857409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quot;$&quot;* #,##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2008570735"/>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5204598681690179E-2"/>
          <c:y val="5.071012931707998E-2"/>
          <c:w val="0.93268053855569155"/>
          <c:h val="0.69447141876028173"/>
        </c:manualLayout>
      </c:layout>
      <c:pie3DChart>
        <c:varyColors val="1"/>
        <c:ser>
          <c:idx val="0"/>
          <c:order val="0"/>
          <c:explosion val="26"/>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0824-124E-9CD9-29AB76D58D0D}"/>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2-0824-124E-9CD9-29AB76D58D0D}"/>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0824-124E-9CD9-29AB76D58D0D}"/>
              </c:ext>
            </c:extLst>
          </c:dPt>
          <c:dLbls>
            <c:dLbl>
              <c:idx val="0"/>
              <c:tx>
                <c:rich>
                  <a:bodyPr/>
                  <a:lstStyle/>
                  <a:p>
                    <a:fld id="{31DB7DFE-CEAD-454F-ACA7-510CDCFD31D7}" type="PERCENTAGE">
                      <a:rPr lang="en-US" baseline="0"/>
                      <a:pPr/>
                      <a:t>[PERCENTAGE]</a:t>
                    </a:fld>
                    <a:endParaRPr lang="en-US"/>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0824-124E-9CD9-29AB76D58D0D}"/>
                </c:ext>
              </c:extLst>
            </c:dLbl>
            <c:dLbl>
              <c:idx val="1"/>
              <c:tx>
                <c:rich>
                  <a:bodyPr/>
                  <a:lstStyle/>
                  <a:p>
                    <a:r>
                      <a:rPr lang="en-US" baseline="0"/>
                      <a:t>
</a:t>
                    </a:r>
                    <a:fld id="{BABED4D3-C5CC-5C49-9086-EE3D28EC2592}" type="PERCENTAGE">
                      <a:rPr lang="en-US" baseline="0"/>
                      <a:pPr/>
                      <a:t>[PERCENTAGE]</a:t>
                    </a:fld>
                    <a:endParaRPr lang="en-US" baseline="0"/>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0824-124E-9CD9-29AB76D58D0D}"/>
                </c:ext>
              </c:extLst>
            </c:dLbl>
            <c:dLbl>
              <c:idx val="2"/>
              <c:tx>
                <c:rich>
                  <a:bodyPr/>
                  <a:lstStyle/>
                  <a:p>
                    <a:r>
                      <a:rPr lang="en-US" baseline="0"/>
                      <a:t>
</a:t>
                    </a:r>
                    <a:fld id="{1DBA12DC-5DD9-B64E-9F3F-7660F4DF37ED}" type="PERCENTAGE">
                      <a:rPr lang="en-US" baseline="0"/>
                      <a:pPr/>
                      <a:t>[PERCENTAGE]</a:t>
                    </a:fld>
                    <a:endParaRPr lang="en-US" baseline="0"/>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0824-124E-9CD9-29AB76D58D0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CO"/>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'FC - BT Inversionista'!$N$7:$N$9</c:f>
              <c:strCache>
                <c:ptCount val="3"/>
                <c:pt idx="0">
                  <c:v>Venta Energía</c:v>
                </c:pt>
                <c:pt idx="1">
                  <c:v>Costo de Operación y Venta </c:v>
                </c:pt>
                <c:pt idx="2">
                  <c:v>Gastos e Ingresos Administrativos</c:v>
                </c:pt>
              </c:strCache>
            </c:strRef>
          </c:cat>
          <c:val>
            <c:numRef>
              <c:f>'FC - BT Inversionista'!$O$7:$O$9</c:f>
              <c:numCache>
                <c:formatCode>_-"$"* #,##0_-;\-"$"* #,##0_-;_-"$"* "-"_-;_-@_-</c:formatCode>
                <c:ptCount val="3"/>
                <c:pt idx="0">
                  <c:v>946.86868000000015</c:v>
                </c:pt>
                <c:pt idx="1">
                  <c:v>-80.721999999999994</c:v>
                </c:pt>
                <c:pt idx="2">
                  <c:v>-57.124646079999998</c:v>
                </c:pt>
              </c:numCache>
            </c:numRef>
          </c:val>
          <c:extLst>
            <c:ext xmlns:c16="http://schemas.microsoft.com/office/drawing/2014/chart" uri="{C3380CC4-5D6E-409C-BE32-E72D297353CC}">
              <c16:uniqueId val="{00000000-0824-124E-9CD9-29AB76D58D0D}"/>
            </c:ext>
          </c:extLst>
        </c:ser>
        <c:dLbls>
          <c:dLblPos val="inEnd"/>
          <c:showLegendKey val="0"/>
          <c:showVal val="0"/>
          <c:showCatName val="1"/>
          <c:showSerName val="0"/>
          <c:showPercent val="0"/>
          <c:showBubbleSize val="0"/>
          <c:showLeaderLines val="1"/>
        </c:dLbls>
      </c:pie3D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r>
              <a:rPr lang="es-MX"/>
              <a:t>Distribución de Ventas</a:t>
            </a:r>
          </a:p>
        </c:rich>
      </c:tx>
      <c:overlay val="0"/>
      <c:spPr>
        <a:noFill/>
        <a:ln>
          <a:noFill/>
        </a:ln>
        <a:effectLst/>
      </c:spPr>
      <c:txPr>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endParaRPr lang="es-CO"/>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extLst>
              <c:ext xmlns:c16="http://schemas.microsoft.com/office/drawing/2014/chart" uri="{C3380CC4-5D6E-409C-BE32-E72D297353CC}">
                <c16:uniqueId val="{00000001-8A56-9148-A6F0-85AB8737D5C9}"/>
              </c:ext>
            </c:extLst>
          </c:dPt>
          <c:dPt>
            <c:idx val="1"/>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extLst>
              <c:ext xmlns:c16="http://schemas.microsoft.com/office/drawing/2014/chart" uri="{C3380CC4-5D6E-409C-BE32-E72D297353CC}">
                <c16:uniqueId val="{00000002-8A56-9148-A6F0-85AB8737D5C9}"/>
              </c:ext>
            </c:extLst>
          </c:dPt>
          <c:dPt>
            <c:idx val="2"/>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extLst>
              <c:ext xmlns:c16="http://schemas.microsoft.com/office/drawing/2014/chart" uri="{C3380CC4-5D6E-409C-BE32-E72D297353CC}">
                <c16:uniqueId val="{00000003-8A56-9148-A6F0-85AB8737D5C9}"/>
              </c:ext>
            </c:extLst>
          </c:dPt>
          <c:dPt>
            <c:idx val="3"/>
            <c:bubble3D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extLst>
              <c:ext xmlns:c16="http://schemas.microsoft.com/office/drawing/2014/chart" uri="{C3380CC4-5D6E-409C-BE32-E72D297353CC}">
                <c16:uniqueId val="{00000004-8A56-9148-A6F0-85AB8737D5C9}"/>
              </c:ext>
            </c:extLst>
          </c:dPt>
          <c:dLbls>
            <c:dLbl>
              <c:idx val="0"/>
              <c:spPr>
                <a:solidFill>
                  <a:schemeClr val="lt1">
                    <a:alpha val="90000"/>
                  </a:schemeClr>
                </a:solidFill>
                <a:ln w="12700" cap="flat" cmpd="sng" algn="ctr">
                  <a:solidFill>
                    <a:schemeClr val="accent1"/>
                  </a:solidFill>
                  <a:round/>
                </a:ln>
                <a:effectLst>
                  <a:outerShdw blurRad="50800" dist="38100" dir="2700000" algn="tl" rotWithShape="0">
                    <a:schemeClr val="accent1">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s-CO"/>
                </a:p>
              </c:txPr>
              <c:dLblPos val="inEnd"/>
              <c:showLegendKey val="0"/>
              <c:showVal val="0"/>
              <c:showCatName val="1"/>
              <c:showSerName val="0"/>
              <c:showPercent val="1"/>
              <c:showBubbleSize val="0"/>
              <c:extLst>
                <c:ext xmlns:c16="http://schemas.microsoft.com/office/drawing/2014/chart" uri="{C3380CC4-5D6E-409C-BE32-E72D297353CC}">
                  <c16:uniqueId val="{00000001-8A56-9148-A6F0-85AB8737D5C9}"/>
                </c:ext>
              </c:extLst>
            </c:dLbl>
            <c:dLbl>
              <c:idx val="1"/>
              <c:layout>
                <c:manualLayout>
                  <c:x val="2.3655931897401714E-2"/>
                  <c:y val="7.4515685539307583E-2"/>
                </c:manualLayout>
              </c:layout>
              <c:spPr>
                <a:solidFill>
                  <a:schemeClr val="lt1">
                    <a:alpha val="90000"/>
                  </a:schemeClr>
                </a:solidFill>
                <a:ln w="12700" cap="flat" cmpd="sng" algn="ctr">
                  <a:solidFill>
                    <a:schemeClr val="accent2"/>
                  </a:solidFill>
                  <a:round/>
                </a:ln>
                <a:effectLst>
                  <a:outerShdw blurRad="50800" dist="38100" dir="2700000" algn="tl" rotWithShape="0">
                    <a:schemeClr val="accent2">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es-CO"/>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6-9148-A6F0-85AB8737D5C9}"/>
                </c:ext>
              </c:extLst>
            </c:dLbl>
            <c:dLbl>
              <c:idx val="2"/>
              <c:layout>
                <c:manualLayout>
                  <c:x val="1.3116277132025164E-2"/>
                  <c:y val="7.9467209455960836E-2"/>
                </c:manualLayout>
              </c:layout>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accent3"/>
                      </a:solidFill>
                      <a:effectLst/>
                      <a:latin typeface="+mn-lt"/>
                      <a:ea typeface="+mn-ea"/>
                      <a:cs typeface="+mn-cs"/>
                    </a:defRPr>
                  </a:pPr>
                  <a:endParaRPr lang="es-CO"/>
                </a:p>
              </c:txPr>
              <c:dLblPos val="bestFit"/>
              <c:showLegendKey val="0"/>
              <c:showVal val="0"/>
              <c:showCatName val="1"/>
              <c:showSerName val="0"/>
              <c:showPercent val="1"/>
              <c:showBubbleSize val="0"/>
              <c:extLst>
                <c:ext xmlns:c15="http://schemas.microsoft.com/office/drawing/2012/chart" uri="{CE6537A1-D6FC-4f65-9D91-7224C49458BB}">
                  <c15:layout>
                    <c:manualLayout>
                      <c:w val="0.24710772264578035"/>
                      <c:h val="0.21687074829931974"/>
                    </c:manualLayout>
                  </c15:layout>
                </c:ext>
                <c:ext xmlns:c16="http://schemas.microsoft.com/office/drawing/2014/chart" uri="{C3380CC4-5D6E-409C-BE32-E72D297353CC}">
                  <c16:uniqueId val="{00000003-8A56-9148-A6F0-85AB8737D5C9}"/>
                </c:ext>
              </c:extLst>
            </c:dLbl>
            <c:dLbl>
              <c:idx val="3"/>
              <c:layout>
                <c:manualLayout>
                  <c:x val="0.48764515546667786"/>
                  <c:y val="8.5798560894173953E-2"/>
                </c:manualLayout>
              </c:layout>
              <c:spPr>
                <a:solidFill>
                  <a:schemeClr val="lt1">
                    <a:alpha val="90000"/>
                  </a:schemeClr>
                </a:solidFill>
                <a:ln w="12700" cap="flat" cmpd="sng" algn="ctr">
                  <a:solidFill>
                    <a:schemeClr val="accent4"/>
                  </a:solidFill>
                  <a:round/>
                </a:ln>
                <a:effectLst>
                  <a:outerShdw blurRad="50800" dist="38100" dir="2700000" algn="tl" rotWithShape="0">
                    <a:schemeClr val="accent4">
                      <a:lumMod val="75000"/>
                      <a:alpha val="40000"/>
                    </a:schemeClr>
                  </a:outerShdw>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accent4"/>
                      </a:solidFill>
                      <a:effectLst/>
                      <a:latin typeface="+mn-lt"/>
                      <a:ea typeface="+mn-ea"/>
                      <a:cs typeface="+mn-cs"/>
                    </a:defRPr>
                  </a:pPr>
                  <a:endParaRPr lang="es-CO"/>
                </a:p>
              </c:txPr>
              <c:dLblPos val="bestFit"/>
              <c:showLegendKey val="0"/>
              <c:showVal val="0"/>
              <c:showCatName val="1"/>
              <c:showSerName val="0"/>
              <c:showPercent val="1"/>
              <c:showBubbleSize val="0"/>
              <c:extLst>
                <c:ext xmlns:c15="http://schemas.microsoft.com/office/drawing/2012/chart" uri="{CE6537A1-D6FC-4f65-9D91-7224C49458BB}">
                  <c15:layout>
                    <c:manualLayout>
                      <c:w val="0.37835964948825834"/>
                      <c:h val="0.13977324263038549"/>
                    </c:manualLayout>
                  </c15:layout>
                </c:ext>
                <c:ext xmlns:c16="http://schemas.microsoft.com/office/drawing/2014/chart" uri="{C3380CC4-5D6E-409C-BE32-E72D297353CC}">
                  <c16:uniqueId val="{00000004-8A56-9148-A6F0-85AB8737D5C9}"/>
                </c:ext>
              </c:extLst>
            </c:dLbl>
            <c:spPr>
              <a:solidFill>
                <a:sysClr val="window" lastClr="FFFFFF">
                  <a:alpha val="90000"/>
                </a:sysClr>
              </a:solidFill>
              <a:ln w="12700" cap="flat" cmpd="sng" algn="ctr">
                <a:solidFill>
                  <a:srgbClr val="4472C4"/>
                </a:solidFill>
                <a:round/>
              </a:ln>
              <a:effectLst>
                <a:outerShdw blurRad="50800" dist="38100" dir="2700000" algn="tl" rotWithShape="0">
                  <a:srgbClr val="4472C4">
                    <a:lumMod val="75000"/>
                    <a:alpha val="40000"/>
                  </a:srgbClr>
                </a:outerShdw>
              </a:effectLst>
            </c:sp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'FC - BT Inversionista'!$V$6:$V$9</c:f>
              <c:strCache>
                <c:ptCount val="4"/>
                <c:pt idx="0">
                  <c:v>Flujo de Caja Libre</c:v>
                </c:pt>
                <c:pt idx="1">
                  <c:v>Impuestos</c:v>
                </c:pt>
                <c:pt idx="2">
                  <c:v>Gastos Administrativos</c:v>
                </c:pt>
                <c:pt idx="3">
                  <c:v>Costos Operacionales</c:v>
                </c:pt>
              </c:strCache>
            </c:strRef>
          </c:cat>
          <c:val>
            <c:numRef>
              <c:f>'FC - BT Inversionista'!$W$6:$W$9</c:f>
              <c:numCache>
                <c:formatCode>_-"$"* #,##0_-;\-"$"* #,##0_-;_-"$"* "-"_-;_-@_-</c:formatCode>
                <c:ptCount val="4"/>
                <c:pt idx="0">
                  <c:v>994864322.0480001</c:v>
                </c:pt>
                <c:pt idx="1">
                  <c:v>-215599630.1133664</c:v>
                </c:pt>
                <c:pt idx="2" formatCode="_-* #,##0_-;\-* #,##0_-;_-* &quot;-&quot;??_-;_-@_-">
                  <c:v>57124646.079999998</c:v>
                </c:pt>
                <c:pt idx="3" formatCode="_-* #,##0_-;\-* #,##0_-;_-* &quot;-&quot;??_-;_-@_-">
                  <c:v>80722000</c:v>
                </c:pt>
              </c:numCache>
            </c:numRef>
          </c:val>
          <c:extLst>
            <c:ext xmlns:c16="http://schemas.microsoft.com/office/drawing/2014/chart" uri="{C3380CC4-5D6E-409C-BE32-E72D297353CC}">
              <c16:uniqueId val="{00000000-8A56-9148-A6F0-85AB8737D5C9}"/>
            </c:ext>
          </c:extLst>
        </c:ser>
        <c:dLbls>
          <c:dLblPos val="inEnd"/>
          <c:showLegendKey val="0"/>
          <c:showVal val="0"/>
          <c:showCatName val="0"/>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r>
              <a:rPr lang="es-MX"/>
              <a:t>Disctribución Ingresos</a:t>
            </a:r>
          </a:p>
        </c:rich>
      </c:tx>
      <c:overlay val="0"/>
      <c:spPr>
        <a:noFill/>
        <a:ln>
          <a:noFill/>
        </a:ln>
        <a:effectLst/>
      </c:spPr>
      <c:txPr>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endParaRPr lang="es-CO"/>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extLst>
              <c:ext xmlns:c16="http://schemas.microsoft.com/office/drawing/2014/chart" uri="{C3380CC4-5D6E-409C-BE32-E72D297353CC}">
                <c16:uniqueId val="{00000001-925C-8C4F-AB52-90F5F8172D1D}"/>
              </c:ext>
            </c:extLst>
          </c:dPt>
          <c:dPt>
            <c:idx val="1"/>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extLst>
              <c:ext xmlns:c16="http://schemas.microsoft.com/office/drawing/2014/chart" uri="{C3380CC4-5D6E-409C-BE32-E72D297353CC}">
                <c16:uniqueId val="{00000002-925C-8C4F-AB52-90F5F8172D1D}"/>
              </c:ext>
            </c:extLst>
          </c:dPt>
          <c:dPt>
            <c:idx val="2"/>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extLst>
              <c:ext xmlns:c16="http://schemas.microsoft.com/office/drawing/2014/chart" uri="{C3380CC4-5D6E-409C-BE32-E72D297353CC}">
                <c16:uniqueId val="{00000003-925C-8C4F-AB52-90F5F8172D1D}"/>
              </c:ext>
            </c:extLst>
          </c:dPt>
          <c:dPt>
            <c:idx val="3"/>
            <c:bubble3D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extLst>
              <c:ext xmlns:c16="http://schemas.microsoft.com/office/drawing/2014/chart" uri="{C3380CC4-5D6E-409C-BE32-E72D297353CC}">
                <c16:uniqueId val="{00000004-925C-8C4F-AB52-90F5F8172D1D}"/>
              </c:ext>
            </c:extLst>
          </c:dPt>
          <c:dPt>
            <c:idx val="4"/>
            <c:bubble3D val="0"/>
            <c:spPr>
              <a:solidFill>
                <a:schemeClr val="accent5">
                  <a:alpha val="90000"/>
                </a:schemeClr>
              </a:solidFill>
              <a:ln w="19050">
                <a:solidFill>
                  <a:schemeClr val="accent5">
                    <a:lumMod val="75000"/>
                  </a:schemeClr>
                </a:solidFill>
              </a:ln>
              <a:effectLst>
                <a:innerShdw blurRad="114300">
                  <a:schemeClr val="accent5">
                    <a:lumMod val="75000"/>
                  </a:schemeClr>
                </a:innerShdw>
              </a:effectLst>
              <a:scene3d>
                <a:camera prst="orthographicFront"/>
                <a:lightRig rig="threePt" dir="t"/>
              </a:scene3d>
              <a:sp3d contourW="19050" prstMaterial="flat">
                <a:contourClr>
                  <a:schemeClr val="accent5">
                    <a:lumMod val="75000"/>
                  </a:schemeClr>
                </a:contourClr>
              </a:sp3d>
            </c:spPr>
            <c:extLst>
              <c:ext xmlns:c16="http://schemas.microsoft.com/office/drawing/2014/chart" uri="{C3380CC4-5D6E-409C-BE32-E72D297353CC}">
                <c16:uniqueId val="{00000005-925C-8C4F-AB52-90F5F8172D1D}"/>
              </c:ext>
            </c:extLst>
          </c:dPt>
          <c:dLbls>
            <c:dLbl>
              <c:idx val="0"/>
              <c:layout>
                <c:manualLayout>
                  <c:x val="-0.10436264216972878"/>
                  <c:y val="0.13152486147564887"/>
                </c:manualLayout>
              </c:layout>
              <c:spPr>
                <a:solidFill>
                  <a:schemeClr val="lt1">
                    <a:alpha val="90000"/>
                  </a:schemeClr>
                </a:solidFill>
                <a:ln w="12700" cap="flat" cmpd="sng" algn="ctr">
                  <a:solidFill>
                    <a:schemeClr val="accent1"/>
                  </a:solidFill>
                  <a:round/>
                </a:ln>
                <a:effectLst>
                  <a:outerShdw blurRad="50800" dist="38100" dir="2700000" algn="tl" rotWithShape="0">
                    <a:schemeClr val="accent1">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s-CO"/>
                </a:p>
              </c:txPr>
              <c:dLblPos val="bestFit"/>
              <c:showLegendKey val="0"/>
              <c:showVal val="0"/>
              <c:showCatName val="1"/>
              <c:showSerName val="0"/>
              <c:showPercent val="1"/>
              <c:showBubbleSize val="0"/>
              <c:extLst>
                <c:ext xmlns:c15="http://schemas.microsoft.com/office/drawing/2012/chart" uri="{CE6537A1-D6FC-4f65-9D91-7224C49458BB}">
                  <c15:layout>
                    <c:manualLayout>
                      <c:w val="0.29822222222222222"/>
                      <c:h val="0.18340296004666085"/>
                    </c:manualLayout>
                  </c15:layout>
                </c:ext>
                <c:ext xmlns:c16="http://schemas.microsoft.com/office/drawing/2014/chart" uri="{C3380CC4-5D6E-409C-BE32-E72D297353CC}">
                  <c16:uniqueId val="{00000001-925C-8C4F-AB52-90F5F8172D1D}"/>
                </c:ext>
              </c:extLst>
            </c:dLbl>
            <c:dLbl>
              <c:idx val="1"/>
              <c:layout>
                <c:manualLayout>
                  <c:x val="-1.1364410092917665E-2"/>
                  <c:y val="-7.5344089402772069E-2"/>
                </c:manualLayout>
              </c:layout>
              <c:spPr>
                <a:solidFill>
                  <a:schemeClr val="lt1">
                    <a:alpha val="90000"/>
                  </a:schemeClr>
                </a:solidFill>
                <a:ln w="12700" cap="flat" cmpd="sng" algn="ctr">
                  <a:solidFill>
                    <a:schemeClr val="accent2"/>
                  </a:solidFill>
                  <a:round/>
                </a:ln>
                <a:effectLst>
                  <a:outerShdw blurRad="50800" dist="38100" dir="2700000" algn="tl" rotWithShape="0">
                    <a:schemeClr val="accent2">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es-CO"/>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25C-8C4F-AB52-90F5F8172D1D}"/>
                </c:ext>
              </c:extLst>
            </c:dLbl>
            <c:dLbl>
              <c:idx val="2"/>
              <c:layout>
                <c:manualLayout>
                  <c:x val="1.5685914260717512E-2"/>
                  <c:y val="-4.2248833479148463E-2"/>
                </c:manualLayout>
              </c:layout>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es-CO"/>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25C-8C4F-AB52-90F5F8172D1D}"/>
                </c:ext>
              </c:extLst>
            </c:dLbl>
            <c:dLbl>
              <c:idx val="3"/>
              <c:layout>
                <c:manualLayout>
                  <c:x val="-3.0775809273840871E-2"/>
                  <c:y val="0.2433242198891806"/>
                </c:manualLayout>
              </c:layout>
              <c:spPr>
                <a:solidFill>
                  <a:schemeClr val="lt1">
                    <a:alpha val="90000"/>
                  </a:schemeClr>
                </a:solidFill>
                <a:ln w="12700" cap="flat" cmpd="sng" algn="ctr">
                  <a:solidFill>
                    <a:schemeClr val="accent4"/>
                  </a:solidFill>
                  <a:round/>
                </a:ln>
                <a:effectLst>
                  <a:outerShdw blurRad="50800" dist="38100" dir="2700000" algn="tl" rotWithShape="0">
                    <a:schemeClr val="accent4">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es-CO"/>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925C-8C4F-AB52-90F5F8172D1D}"/>
                </c:ext>
              </c:extLst>
            </c:dLbl>
            <c:dLbl>
              <c:idx val="4"/>
              <c:spPr>
                <a:solidFill>
                  <a:schemeClr val="lt1">
                    <a:alpha val="90000"/>
                  </a:schemeClr>
                </a:solidFill>
                <a:ln w="12700" cap="flat" cmpd="sng" algn="ctr">
                  <a:solidFill>
                    <a:schemeClr val="accent5"/>
                  </a:solidFill>
                  <a:round/>
                </a:ln>
                <a:effectLst>
                  <a:outerShdw blurRad="50800" dist="38100" dir="2700000" algn="tl" rotWithShape="0">
                    <a:schemeClr val="accent5">
                      <a:lumMod val="75000"/>
                      <a:alpha val="40000"/>
                    </a:schemeClr>
                  </a:outerShdw>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accent5"/>
                      </a:solidFill>
                      <a:effectLst/>
                      <a:latin typeface="+mn-lt"/>
                      <a:ea typeface="+mn-ea"/>
                      <a:cs typeface="+mn-cs"/>
                    </a:defRPr>
                  </a:pPr>
                  <a:endParaRPr lang="es-CO"/>
                </a:p>
              </c:txPr>
              <c:dLblPos val="inEnd"/>
              <c:showLegendKey val="0"/>
              <c:showVal val="0"/>
              <c:showCatName val="1"/>
              <c:showSerName val="0"/>
              <c:showPercent val="1"/>
              <c:showBubbleSize val="0"/>
              <c:extLst>
                <c:ext xmlns:c16="http://schemas.microsoft.com/office/drawing/2014/chart" uri="{C3380CC4-5D6E-409C-BE32-E72D297353CC}">
                  <c16:uniqueId val="{00000005-925C-8C4F-AB52-90F5F8172D1D}"/>
                </c:ext>
              </c:extLst>
            </c:dLbl>
            <c:spPr>
              <a:solidFill>
                <a:sysClr val="window" lastClr="FFFFFF">
                  <a:alpha val="90000"/>
                </a:sysClr>
              </a:solidFill>
              <a:ln w="12700" cap="flat" cmpd="sng" algn="ctr">
                <a:solidFill>
                  <a:srgbClr val="4472C4"/>
                </a:solidFill>
                <a:round/>
              </a:ln>
              <a:effectLst>
                <a:outerShdw blurRad="50800" dist="38100" dir="2700000" algn="tl" rotWithShape="0">
                  <a:srgbClr val="4472C4">
                    <a:lumMod val="75000"/>
                    <a:alpha val="40000"/>
                  </a:srgbClr>
                </a:outerShdw>
              </a:effectLst>
            </c:sp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'FC - BT Inversionista'!$AC$5:$AC$9</c:f>
              <c:strCache>
                <c:ptCount val="5"/>
                <c:pt idx="0">
                  <c:v>Flujo de Caja Inversión</c:v>
                </c:pt>
                <c:pt idx="1">
                  <c:v>Impuestos</c:v>
                </c:pt>
                <c:pt idx="2">
                  <c:v>Gastos Administrativos</c:v>
                </c:pt>
                <c:pt idx="3">
                  <c:v>Costos Operacionales</c:v>
                </c:pt>
                <c:pt idx="4">
                  <c:v>Cuota de Crédito</c:v>
                </c:pt>
              </c:strCache>
            </c:strRef>
          </c:cat>
          <c:val>
            <c:numRef>
              <c:f>'FC - BT Inversionista'!$AD$5:$AD$9</c:f>
              <c:numCache>
                <c:formatCode>_-"$"* #,##0_-;\-"$"* #,##0_-;_-"$"* "-"_-;_-@_-</c:formatCode>
                <c:ptCount val="5"/>
                <c:pt idx="0">
                  <c:v>527559366.62559485</c:v>
                </c:pt>
                <c:pt idx="1">
                  <c:v>268389064.1117501</c:v>
                </c:pt>
                <c:pt idx="2" formatCode="_-* #,##0_-;\-* #,##0_-;_-* &quot;-&quot;??_-;_-@_-">
                  <c:v>55792095.970732808</c:v>
                </c:pt>
                <c:pt idx="3" formatCode="_-* #,##0_-;\-* #,##0_-;_-* &quot;-&quot;??_-;_-@_-">
                  <c:v>91413184.61592415</c:v>
                </c:pt>
                <c:pt idx="4">
                  <c:v>508542937.56853259</c:v>
                </c:pt>
              </c:numCache>
            </c:numRef>
          </c:val>
          <c:extLst>
            <c:ext xmlns:c16="http://schemas.microsoft.com/office/drawing/2014/chart" uri="{C3380CC4-5D6E-409C-BE32-E72D297353CC}">
              <c16:uniqueId val="{00000000-925C-8C4F-AB52-90F5F8172D1D}"/>
            </c:ext>
          </c:extLst>
        </c:ser>
        <c:dLbls>
          <c:dLblPos val="in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251106</xdr:colOff>
      <xdr:row>0</xdr:row>
      <xdr:rowOff>125075</xdr:rowOff>
    </xdr:from>
    <xdr:to>
      <xdr:col>1</xdr:col>
      <xdr:colOff>2551057</xdr:colOff>
      <xdr:row>2</xdr:row>
      <xdr:rowOff>161019</xdr:rowOff>
    </xdr:to>
    <xdr:pic>
      <xdr:nvPicPr>
        <xdr:cNvPr id="2" name="Imagen 1">
          <a:extLst>
            <a:ext uri="{FF2B5EF4-FFF2-40B4-BE49-F238E27FC236}">
              <a16:creationId xmlns:a16="http://schemas.microsoft.com/office/drawing/2014/main" id="{3EF7CD38-28D3-3B40-A24C-1619F19688AB}"/>
            </a:ext>
          </a:extLst>
        </xdr:cNvPr>
        <xdr:cNvPicPr>
          <a:picLocks noChangeAspect="1"/>
        </xdr:cNvPicPr>
      </xdr:nvPicPr>
      <xdr:blipFill>
        <a:blip xmlns:r="http://schemas.openxmlformats.org/officeDocument/2006/relationships" r:embed="rId1"/>
        <a:stretch>
          <a:fillRect/>
        </a:stretch>
      </xdr:blipFill>
      <xdr:spPr>
        <a:xfrm>
          <a:off x="479706" y="125075"/>
          <a:ext cx="2299951" cy="518544"/>
        </a:xfrm>
        <a:prstGeom prst="rect">
          <a:avLst/>
        </a:prstGeom>
      </xdr:spPr>
    </xdr:pic>
    <xdr:clientData/>
  </xdr:twoCellAnchor>
  <xdr:twoCellAnchor>
    <xdr:from>
      <xdr:col>31</xdr:col>
      <xdr:colOff>0</xdr:colOff>
      <xdr:row>101</xdr:row>
      <xdr:rowOff>0</xdr:rowOff>
    </xdr:from>
    <xdr:to>
      <xdr:col>34</xdr:col>
      <xdr:colOff>685800</xdr:colOff>
      <xdr:row>114</xdr:row>
      <xdr:rowOff>190500</xdr:rowOff>
    </xdr:to>
    <xdr:graphicFrame macro="">
      <xdr:nvGraphicFramePr>
        <xdr:cNvPr id="3" name="Gráfico 2">
          <a:extLst>
            <a:ext uri="{FF2B5EF4-FFF2-40B4-BE49-F238E27FC236}">
              <a16:creationId xmlns:a16="http://schemas.microsoft.com/office/drawing/2014/main" id="{4C48B5BC-2FF2-5F42-9DC6-4149B6756B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251106</xdr:colOff>
      <xdr:row>0</xdr:row>
      <xdr:rowOff>125075</xdr:rowOff>
    </xdr:from>
    <xdr:to>
      <xdr:col>1</xdr:col>
      <xdr:colOff>2551057</xdr:colOff>
      <xdr:row>2</xdr:row>
      <xdr:rowOff>161019</xdr:rowOff>
    </xdr:to>
    <xdr:pic>
      <xdr:nvPicPr>
        <xdr:cNvPr id="2" name="Imagen 1">
          <a:extLst>
            <a:ext uri="{FF2B5EF4-FFF2-40B4-BE49-F238E27FC236}">
              <a16:creationId xmlns:a16="http://schemas.microsoft.com/office/drawing/2014/main" id="{9F286ED5-3838-42D4-9663-B54873806292}"/>
            </a:ext>
          </a:extLst>
        </xdr:cNvPr>
        <xdr:cNvPicPr>
          <a:picLocks noChangeAspect="1"/>
        </xdr:cNvPicPr>
      </xdr:nvPicPr>
      <xdr:blipFill>
        <a:blip xmlns:r="http://schemas.openxmlformats.org/officeDocument/2006/relationships" r:embed="rId1"/>
        <a:stretch>
          <a:fillRect/>
        </a:stretch>
      </xdr:blipFill>
      <xdr:spPr>
        <a:xfrm>
          <a:off x="479706" y="125075"/>
          <a:ext cx="2299951" cy="512194"/>
        </a:xfrm>
        <a:prstGeom prst="rect">
          <a:avLst/>
        </a:prstGeom>
      </xdr:spPr>
    </xdr:pic>
    <xdr:clientData/>
  </xdr:twoCellAnchor>
  <xdr:twoCellAnchor>
    <xdr:from>
      <xdr:col>31</xdr:col>
      <xdr:colOff>0</xdr:colOff>
      <xdr:row>85</xdr:row>
      <xdr:rowOff>0</xdr:rowOff>
    </xdr:from>
    <xdr:to>
      <xdr:col>34</xdr:col>
      <xdr:colOff>685800</xdr:colOff>
      <xdr:row>98</xdr:row>
      <xdr:rowOff>190500</xdr:rowOff>
    </xdr:to>
    <xdr:graphicFrame macro="">
      <xdr:nvGraphicFramePr>
        <xdr:cNvPr id="3" name="Gráfico 2">
          <a:extLst>
            <a:ext uri="{FF2B5EF4-FFF2-40B4-BE49-F238E27FC236}">
              <a16:creationId xmlns:a16="http://schemas.microsoft.com/office/drawing/2014/main" id="{5A613D3C-4753-4107-8D0C-20AEAF5B7F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525279</xdr:colOff>
      <xdr:row>10</xdr:row>
      <xdr:rowOff>182234</xdr:rowOff>
    </xdr:from>
    <xdr:to>
      <xdr:col>29</xdr:col>
      <xdr:colOff>285159</xdr:colOff>
      <xdr:row>20</xdr:row>
      <xdr:rowOff>94747</xdr:rowOff>
    </xdr:to>
    <xdr:graphicFrame macro="">
      <xdr:nvGraphicFramePr>
        <xdr:cNvPr id="5" name="Gráfico 4">
          <a:extLst>
            <a:ext uri="{FF2B5EF4-FFF2-40B4-BE49-F238E27FC236}">
              <a16:creationId xmlns:a16="http://schemas.microsoft.com/office/drawing/2014/main" id="{C8B61BDF-F774-1317-DFAE-EF4487C423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641350</xdr:colOff>
      <xdr:row>3</xdr:row>
      <xdr:rowOff>158750</xdr:rowOff>
    </xdr:from>
    <xdr:to>
      <xdr:col>27</xdr:col>
      <xdr:colOff>12700</xdr:colOff>
      <xdr:row>17</xdr:row>
      <xdr:rowOff>76200</xdr:rowOff>
    </xdr:to>
    <xdr:graphicFrame macro="">
      <xdr:nvGraphicFramePr>
        <xdr:cNvPr id="6" name="Gráfico 5">
          <a:extLst>
            <a:ext uri="{FF2B5EF4-FFF2-40B4-BE49-F238E27FC236}">
              <a16:creationId xmlns:a16="http://schemas.microsoft.com/office/drawing/2014/main" id="{DE371754-E8C3-9DC9-11E5-0B6D352167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1187449</xdr:colOff>
      <xdr:row>4</xdr:row>
      <xdr:rowOff>190499</xdr:rowOff>
    </xdr:from>
    <xdr:to>
      <xdr:col>37</xdr:col>
      <xdr:colOff>81935</xdr:colOff>
      <xdr:row>20</xdr:row>
      <xdr:rowOff>40967</xdr:rowOff>
    </xdr:to>
    <xdr:graphicFrame macro="">
      <xdr:nvGraphicFramePr>
        <xdr:cNvPr id="7" name="Gráfico 6">
          <a:extLst>
            <a:ext uri="{FF2B5EF4-FFF2-40B4-BE49-F238E27FC236}">
              <a16:creationId xmlns:a16="http://schemas.microsoft.com/office/drawing/2014/main" id="{52F420B6-A149-D829-BCEE-69834AEDA8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127000</xdr:colOff>
      <xdr:row>1</xdr:row>
      <xdr:rowOff>25400</xdr:rowOff>
    </xdr:from>
    <xdr:to>
      <xdr:col>2</xdr:col>
      <xdr:colOff>369551</xdr:colOff>
      <xdr:row>2</xdr:row>
      <xdr:rowOff>302644</xdr:rowOff>
    </xdr:to>
    <xdr:pic>
      <xdr:nvPicPr>
        <xdr:cNvPr id="2" name="Imagen 1">
          <a:extLst>
            <a:ext uri="{FF2B5EF4-FFF2-40B4-BE49-F238E27FC236}">
              <a16:creationId xmlns:a16="http://schemas.microsoft.com/office/drawing/2014/main" id="{52AF0F46-F82B-9E42-AB02-3D2548E97B00}"/>
            </a:ext>
          </a:extLst>
        </xdr:cNvPr>
        <xdr:cNvPicPr>
          <a:picLocks noChangeAspect="1"/>
        </xdr:cNvPicPr>
      </xdr:nvPicPr>
      <xdr:blipFill>
        <a:blip xmlns:r="http://schemas.openxmlformats.org/officeDocument/2006/relationships" r:embed="rId1"/>
        <a:stretch>
          <a:fillRect/>
        </a:stretch>
      </xdr:blipFill>
      <xdr:spPr>
        <a:xfrm>
          <a:off x="690988" y="228600"/>
          <a:ext cx="2299951" cy="51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101600</xdr:colOff>
      <xdr:row>0</xdr:row>
      <xdr:rowOff>0</xdr:rowOff>
    </xdr:from>
    <xdr:ext cx="8773486" cy="774700"/>
    <xdr:sp macro="" textlink="">
      <xdr:nvSpPr>
        <xdr:cNvPr id="2" name="AutoShape 552">
          <a:extLst>
            <a:ext uri="{FF2B5EF4-FFF2-40B4-BE49-F238E27FC236}">
              <a16:creationId xmlns:a16="http://schemas.microsoft.com/office/drawing/2014/main" id="{A6690016-66AF-EA46-9B24-95F2B71B7C8D}"/>
            </a:ext>
          </a:extLst>
        </xdr:cNvPr>
        <xdr:cNvSpPr>
          <a:spLocks noChangeAspect="1" noChangeArrowheads="1"/>
        </xdr:cNvSpPr>
      </xdr:nvSpPr>
      <xdr:spPr bwMode="auto">
        <a:xfrm>
          <a:off x="1854200" y="0"/>
          <a:ext cx="8773486" cy="774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10</xdr:col>
      <xdr:colOff>571500</xdr:colOff>
      <xdr:row>0</xdr:row>
      <xdr:rowOff>215900</xdr:rowOff>
    </xdr:from>
    <xdr:ext cx="2674224" cy="393700"/>
    <xdr:pic>
      <xdr:nvPicPr>
        <xdr:cNvPr id="3" name="Imagen 10">
          <a:extLst>
            <a:ext uri="{FF2B5EF4-FFF2-40B4-BE49-F238E27FC236}">
              <a16:creationId xmlns:a16="http://schemas.microsoft.com/office/drawing/2014/main" id="{D1D34A71-F466-9A49-881E-51E700C1DD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34500" y="177800"/>
          <a:ext cx="2674224"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2</xdr:col>
      <xdr:colOff>0</xdr:colOff>
      <xdr:row>0</xdr:row>
      <xdr:rowOff>114300</xdr:rowOff>
    </xdr:from>
    <xdr:to>
      <xdr:col>3</xdr:col>
      <xdr:colOff>584200</xdr:colOff>
      <xdr:row>0</xdr:row>
      <xdr:rowOff>749300</xdr:rowOff>
    </xdr:to>
    <xdr:pic>
      <xdr:nvPicPr>
        <xdr:cNvPr id="4" name="Imagen 11">
          <a:extLst>
            <a:ext uri="{FF2B5EF4-FFF2-40B4-BE49-F238E27FC236}">
              <a16:creationId xmlns:a16="http://schemas.microsoft.com/office/drawing/2014/main" id="{1A558FD6-2C44-3B46-87C3-E98DD2725F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52600" y="114300"/>
          <a:ext cx="1460500" cy="63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12700</xdr:colOff>
      <xdr:row>0</xdr:row>
      <xdr:rowOff>774700</xdr:rowOff>
    </xdr:from>
    <xdr:ext cx="10953342" cy="76200"/>
    <xdr:pic>
      <xdr:nvPicPr>
        <xdr:cNvPr id="5" name="Imagen 12">
          <a:extLst>
            <a:ext uri="{FF2B5EF4-FFF2-40B4-BE49-F238E27FC236}">
              <a16:creationId xmlns:a16="http://schemas.microsoft.com/office/drawing/2014/main" id="{A90F7F85-5C7E-3140-8C70-89B6E2753AF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2815" t="19910" r="978" b="45454"/>
        <a:stretch>
          <a:fillRect/>
        </a:stretch>
      </xdr:blipFill>
      <xdr:spPr bwMode="auto">
        <a:xfrm>
          <a:off x="1765300" y="177800"/>
          <a:ext cx="10953342" cy="76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7</xdr:col>
      <xdr:colOff>622300</xdr:colOff>
      <xdr:row>38</xdr:row>
      <xdr:rowOff>12700</xdr:rowOff>
    </xdr:to>
    <xdr:pic>
      <xdr:nvPicPr>
        <xdr:cNvPr id="2" name="Imagen 1">
          <a:extLst>
            <a:ext uri="{FF2B5EF4-FFF2-40B4-BE49-F238E27FC236}">
              <a16:creationId xmlns:a16="http://schemas.microsoft.com/office/drawing/2014/main" id="{6C2A5739-B6A5-954A-A774-C33E9C622D5A}"/>
            </a:ext>
          </a:extLst>
        </xdr:cNvPr>
        <xdr:cNvPicPr>
          <a:picLocks noChangeAspect="1"/>
        </xdr:cNvPicPr>
      </xdr:nvPicPr>
      <xdr:blipFill>
        <a:blip xmlns:r="http://schemas.openxmlformats.org/officeDocument/2006/relationships" r:embed="rId1"/>
        <a:stretch>
          <a:fillRect/>
        </a:stretch>
      </xdr:blipFill>
      <xdr:spPr>
        <a:xfrm>
          <a:off x="825500" y="406400"/>
          <a:ext cx="5575300" cy="73279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USERS\INDUSTRIA\BASES\INDICE%20PRODUCCION%20REAL\INDICE90%20(NUEVO%2098-0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TEMP\ITCR94%20(IPM)%201994=100%2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Z:\TEMP\PRECIOS%20PROM94=100copia.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users\LCHARRVE\LFCH\varios\BOLETIN1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USERS\DOCSEGUIMACRO\RECIBIDOS\DICIEMBRE\CAMBIARIA\CAMSEG2.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K:\users\Lcharrve\REVISTA\CONSOLIDADO\FPjul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s"/>
      <sheetName val="VAR MENSUAL"/>
      <sheetName val="VAR ANUAL"/>
      <sheetName val="VAR ACUMULA CORRIDA"/>
      <sheetName val="VAR ACUMULA ANUAL"/>
      <sheetName val="EJERCICIO CH ACUM VAR% "/>
      <sheetName val="Table 17 Var anual"/>
      <sheetName val="Tabla 17 Promedio"/>
      <sheetName val="Promedio"/>
      <sheetName val="TASAS"/>
      <sheetName val="IPM"/>
      <sheetName val="Hoja1"/>
      <sheetName val="A"/>
      <sheetName val="101"/>
    </sheetNames>
    <sheetDataSet>
      <sheetData sheetId="0"/>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SAS"/>
      <sheetName val="DIARIO"/>
      <sheetName val="ITCR FIN DE"/>
      <sheetName val="ITCRIPC(NT)"/>
      <sheetName val="ITCRIPP(NT)"/>
      <sheetName val="GRAFICO ITCR"/>
      <sheetName val="EST. IPM - IPC"/>
      <sheetName val="grfipc"/>
      <sheetName val="ITCRIPP(T)"/>
      <sheetName val="ITCRIPC(T)"/>
      <sheetName val="revista"/>
      <sheetName val="ITCR(TR-NTR)"/>
      <sheetName val="ITCRFMI"/>
      <sheetName val="Gráfico3"/>
      <sheetName val="RESULTADOS"/>
    </sheetNames>
    <sheetDataSet>
      <sheetData sheetId="0"/>
      <sheetData sheetId="1"/>
      <sheetData sheetId="2"/>
      <sheetData sheetId="3"/>
      <sheetData sheetId="4"/>
      <sheetData sheetId="5" refreshError="1"/>
      <sheetData sheetId="6"/>
      <sheetData sheetId="7"/>
      <sheetData sheetId="8"/>
      <sheetData sheetId="9"/>
      <sheetData sheetId="10"/>
      <sheetData sheetId="11"/>
      <sheetData sheetId="12"/>
      <sheetData sheetId="13" refreshError="1"/>
      <sheetData sheetId="1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PM"/>
      <sheetName val="IPC"/>
      <sheetName val="EMPALMES"/>
      <sheetName val="WPI"/>
    </sheetNames>
    <sheetDataSet>
      <sheetData sheetId="0">
        <row r="1">
          <cell r="A1" t="str">
            <v>CODIGO SERIE</v>
          </cell>
          <cell r="B1" t="str">
            <v>63...</v>
          </cell>
          <cell r="C1" t="str">
            <v>63...</v>
          </cell>
          <cell r="D1" t="str">
            <v>63...</v>
          </cell>
          <cell r="E1" t="str">
            <v>63...</v>
          </cell>
          <cell r="F1" t="str">
            <v>63...</v>
          </cell>
          <cell r="G1" t="str">
            <v>64...</v>
          </cell>
          <cell r="H1" t="str">
            <v>63...</v>
          </cell>
          <cell r="I1" t="str">
            <v>63A..</v>
          </cell>
          <cell r="J1" t="str">
            <v>63...</v>
          </cell>
          <cell r="K1" t="str">
            <v>63...</v>
          </cell>
          <cell r="L1" t="str">
            <v>63...</v>
          </cell>
          <cell r="M1" t="str">
            <v>63...</v>
          </cell>
          <cell r="O1" t="str">
            <v>63...</v>
          </cell>
          <cell r="P1" t="str">
            <v>63...</v>
          </cell>
          <cell r="Q1" t="str">
            <v>64...</v>
          </cell>
          <cell r="R1" t="str">
            <v>63...</v>
          </cell>
          <cell r="S1" t="str">
            <v>63...</v>
          </cell>
          <cell r="T1" t="str">
            <v>64...</v>
          </cell>
          <cell r="U1" t="str">
            <v>64...</v>
          </cell>
          <cell r="V1" t="str">
            <v>63...</v>
          </cell>
        </row>
        <row r="2">
          <cell r="A2" t="str">
            <v>CODIGO PAÍS</v>
          </cell>
          <cell r="B2" t="str">
            <v>111</v>
          </cell>
          <cell r="C2" t="str">
            <v>134</v>
          </cell>
          <cell r="D2" t="str">
            <v>158</v>
          </cell>
          <cell r="E2" t="str">
            <v>138</v>
          </cell>
          <cell r="F2" t="str">
            <v>184</v>
          </cell>
          <cell r="G2" t="str">
            <v>132</v>
          </cell>
          <cell r="H2" t="str">
            <v>112</v>
          </cell>
          <cell r="I2" t="str">
            <v>136</v>
          </cell>
          <cell r="J2" t="str">
            <v>124</v>
          </cell>
          <cell r="K2" t="str">
            <v>146</v>
          </cell>
          <cell r="L2" t="str">
            <v>156</v>
          </cell>
          <cell r="M2" t="str">
            <v>144</v>
          </cell>
          <cell r="O2" t="str">
            <v>273</v>
          </cell>
          <cell r="P2" t="str">
            <v>299</v>
          </cell>
          <cell r="Q2" t="str">
            <v>248</v>
          </cell>
          <cell r="R2" t="str">
            <v>223</v>
          </cell>
          <cell r="S2" t="str">
            <v>228</v>
          </cell>
          <cell r="T2" t="str">
            <v>293</v>
          </cell>
          <cell r="U2" t="str">
            <v>283</v>
          </cell>
          <cell r="V2" t="str">
            <v>213</v>
          </cell>
        </row>
        <row r="3">
          <cell r="A3" t="str">
            <v>CODIGO</v>
          </cell>
        </row>
        <row r="4">
          <cell r="A4" t="str">
            <v>PAIS</v>
          </cell>
          <cell r="B4" t="str">
            <v>USA</v>
          </cell>
          <cell r="C4" t="str">
            <v>ALEMANIA</v>
          </cell>
          <cell r="D4" t="str">
            <v>JAPON</v>
          </cell>
          <cell r="E4" t="str">
            <v>HOLANDA</v>
          </cell>
          <cell r="F4" t="str">
            <v>ESPANA</v>
          </cell>
          <cell r="G4" t="str">
            <v>FRANCIA</v>
          </cell>
          <cell r="H4" t="str">
            <v>REINO U.</v>
          </cell>
          <cell r="I4" t="str">
            <v>ITALIA</v>
          </cell>
          <cell r="J4" t="str">
            <v>BELGICA</v>
          </cell>
          <cell r="K4" t="str">
            <v>SUIZA</v>
          </cell>
          <cell r="L4" t="str">
            <v>CANADA</v>
          </cell>
          <cell r="M4" t="str">
            <v>SUECIA</v>
          </cell>
          <cell r="N4" t="str">
            <v/>
          </cell>
          <cell r="O4" t="str">
            <v>MEXICO</v>
          </cell>
          <cell r="P4" t="str">
            <v>VENEZUELA</v>
          </cell>
          <cell r="Q4" t="str">
            <v>ECUADOR</v>
          </cell>
          <cell r="R4" t="str">
            <v>BRASIL</v>
          </cell>
          <cell r="S4" t="str">
            <v>CHILE</v>
          </cell>
          <cell r="T4" t="str">
            <v>PERU</v>
          </cell>
          <cell r="U4" t="str">
            <v>PANAMA</v>
          </cell>
          <cell r="V4" t="str">
            <v>ARGENTINA</v>
          </cell>
        </row>
        <row r="5">
          <cell r="A5">
            <v>31747</v>
          </cell>
          <cell r="B5">
            <v>82.797888020980565</v>
          </cell>
          <cell r="C5">
            <v>90.36436276816832</v>
          </cell>
          <cell r="D5">
            <v>104.59886540271191</v>
          </cell>
          <cell r="E5">
            <v>91.224949774120432</v>
          </cell>
          <cell r="F5">
            <v>81.920707257246221</v>
          </cell>
          <cell r="G5">
            <v>81.222316558271274</v>
          </cell>
          <cell r="H5">
            <v>73.053255085399655</v>
          </cell>
          <cell r="I5">
            <v>69.082385398020335</v>
          </cell>
          <cell r="J5">
            <v>98.936102584903892</v>
          </cell>
          <cell r="K5">
            <v>91.596271035341502</v>
          </cell>
          <cell r="L5">
            <v>83.921329448517852</v>
          </cell>
          <cell r="M5">
            <v>73.384926231846507</v>
          </cell>
          <cell r="O5">
            <v>12.304143436029321</v>
          </cell>
          <cell r="P5">
            <v>7.1000870707738404</v>
          </cell>
          <cell r="Q5">
            <v>4.909975179795004</v>
          </cell>
          <cell r="R5">
            <v>5.180377402216365E-7</v>
          </cell>
          <cell r="S5">
            <v>38.020257220917756</v>
          </cell>
          <cell r="T5">
            <v>5.5878856302097007E-4</v>
          </cell>
          <cell r="U5">
            <v>93.533529213964911</v>
          </cell>
          <cell r="V5">
            <v>8.1812244706614811E-3</v>
          </cell>
        </row>
        <row r="6">
          <cell r="A6">
            <v>31778</v>
          </cell>
          <cell r="B6">
            <v>83.462264856103062</v>
          </cell>
          <cell r="C6">
            <v>89.985873482186378</v>
          </cell>
          <cell r="D6">
            <v>103.76871542988557</v>
          </cell>
          <cell r="E6">
            <v>91.319483495813614</v>
          </cell>
          <cell r="F6">
            <v>82.101348643512324</v>
          </cell>
          <cell r="G6">
            <v>81.966564575593111</v>
          </cell>
          <cell r="H6">
            <v>73.744066567444349</v>
          </cell>
          <cell r="I6">
            <v>69.845061355348875</v>
          </cell>
          <cell r="J6">
            <v>98.096366887009907</v>
          </cell>
          <cell r="K6">
            <v>90.791912957984678</v>
          </cell>
          <cell r="L6">
            <v>84.376433871857245</v>
          </cell>
          <cell r="M6">
            <v>74.043087552939767</v>
          </cell>
          <cell r="O6">
            <v>13.221579310596368</v>
          </cell>
          <cell r="P6">
            <v>7.473523875294938</v>
          </cell>
          <cell r="Q6">
            <v>4.998369144934304</v>
          </cell>
          <cell r="R6">
            <v>5.7117097030218014E-7</v>
          </cell>
          <cell r="S6">
            <v>37.702774869548563</v>
          </cell>
          <cell r="T6">
            <v>5.9550721555452421E-4</v>
          </cell>
          <cell r="U6">
            <v>93.64787324300606</v>
          </cell>
          <cell r="V6">
            <v>8.6158002796441081E-3</v>
          </cell>
        </row>
        <row r="7">
          <cell r="A7">
            <v>31809</v>
          </cell>
          <cell r="B7">
            <v>83.877499654040221</v>
          </cell>
          <cell r="C7">
            <v>89.796628349997761</v>
          </cell>
          <cell r="D7">
            <v>103.65012211593394</v>
          </cell>
          <cell r="E7">
            <v>91.035883285523695</v>
          </cell>
          <cell r="F7">
            <v>82.191668881956844</v>
          </cell>
          <cell r="G7">
            <v>82.115414726129714</v>
          </cell>
          <cell r="H7">
            <v>74.003120657368669</v>
          </cell>
          <cell r="I7">
            <v>69.965483874927074</v>
          </cell>
          <cell r="J7">
            <v>97.714669128907531</v>
          </cell>
          <cell r="K7">
            <v>90.590823193588591</v>
          </cell>
          <cell r="L7">
            <v>84.103371767119611</v>
          </cell>
          <cell r="M7">
            <v>74.207627214562876</v>
          </cell>
          <cell r="O7">
            <v>14.007250658543047</v>
          </cell>
          <cell r="P7">
            <v>8.067192590930695</v>
          </cell>
          <cell r="Q7">
            <v>5.1250372165191971</v>
          </cell>
          <cell r="R7">
            <v>6.2910517444354728E-7</v>
          </cell>
          <cell r="S7">
            <v>38.034688007768061</v>
          </cell>
          <cell r="T7">
            <v>6.2855494820827495E-4</v>
          </cell>
          <cell r="U7">
            <v>93.590700751769972</v>
          </cell>
          <cell r="V7">
            <v>9.2101006993550501E-3</v>
          </cell>
        </row>
        <row r="8">
          <cell r="A8">
            <v>31837</v>
          </cell>
          <cell r="B8">
            <v>84.043593380144586</v>
          </cell>
          <cell r="C8">
            <v>89.891250916092076</v>
          </cell>
          <cell r="D8">
            <v>103.76871542988557</v>
          </cell>
          <cell r="E8">
            <v>91.035883285523695</v>
          </cell>
          <cell r="F8">
            <v>82.281989120401349</v>
          </cell>
          <cell r="G8">
            <v>82.214647248033714</v>
          </cell>
          <cell r="H8">
            <v>74.175823096194975</v>
          </cell>
          <cell r="I8">
            <v>70.045765554645854</v>
          </cell>
          <cell r="J8">
            <v>98.172706018584549</v>
          </cell>
          <cell r="K8">
            <v>90.691368075786642</v>
          </cell>
          <cell r="L8">
            <v>84.103371767119611</v>
          </cell>
          <cell r="M8">
            <v>74.043087552939767</v>
          </cell>
          <cell r="O8">
            <v>15.031264605415668</v>
          </cell>
          <cell r="P8">
            <v>8.5603206392531543</v>
          </cell>
          <cell r="Q8">
            <v>5.3893082452922236</v>
          </cell>
          <cell r="R8">
            <v>7.1492160276700436E-7</v>
          </cell>
          <cell r="S8">
            <v>39.10258135667808</v>
          </cell>
          <cell r="T8">
            <v>6.6225067427181609E-4</v>
          </cell>
          <cell r="U8">
            <v>93.81938976328334</v>
          </cell>
          <cell r="V8">
            <v>9.9330104832606597E-3</v>
          </cell>
        </row>
      </sheetData>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 val="Hoja3"/>
      <sheetName val="BOLETIN11"/>
    </sheetNames>
    <sheetDataSet>
      <sheetData sheetId="0"/>
      <sheetData sheetId="1"/>
      <sheetData sheetId="2"/>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GRAGICOS"/>
      <sheetName val="Módulo1"/>
    </sheetNames>
    <sheetDataSet>
      <sheetData sheetId="0">
        <row r="3">
          <cell r="B3" t="str">
            <v>Cuadro II-3A</v>
          </cell>
          <cell r="N3" t="str">
            <v>Cuadro II-4A</v>
          </cell>
          <cell r="X3" t="str">
            <v>Cuadro II-5A</v>
          </cell>
        </row>
        <row r="5">
          <cell r="B5" t="str">
            <v>REINTEGROS POR SERVICIOS FINANCIEROS Y NO FINANCIEROS</v>
          </cell>
          <cell r="N5" t="str">
            <v>CUENTA DE CAPITAL</v>
          </cell>
          <cell r="X5" t="str">
            <v>BALANZA CAMBIARIA</v>
          </cell>
        </row>
        <row r="7">
          <cell r="B7" t="str">
            <v>(Valores mensuales)</v>
          </cell>
          <cell r="N7" t="str">
            <v>(Valores mensuales)</v>
          </cell>
          <cell r="X7" t="str">
            <v>(Valores mensuales)</v>
          </cell>
        </row>
        <row r="9">
          <cell r="I9" t="str">
            <v xml:space="preserve">                  (Miles de dólares)</v>
          </cell>
          <cell r="T9" t="str">
            <v>(Miles de pesos)</v>
          </cell>
          <cell r="AD9" t="str">
            <v xml:space="preserve">               (Miles de dólares)</v>
          </cell>
        </row>
        <row r="10">
          <cell r="B10" t="str">
            <v>Período</v>
          </cell>
          <cell r="D10" t="str">
            <v>Turismo</v>
          </cell>
          <cell r="E10" t="str">
            <v>Transferencias</v>
          </cell>
          <cell r="F10" t="str">
            <v>Otros servicios</v>
          </cell>
          <cell r="G10" t="str">
            <v>Servicios</v>
          </cell>
          <cell r="I10" t="str">
            <v>Servicios Totales</v>
          </cell>
          <cell r="N10" t="str">
            <v>Período</v>
          </cell>
          <cell r="P10" t="str">
            <v>Sector</v>
          </cell>
          <cell r="Q10" t="str">
            <v>Inversión</v>
          </cell>
          <cell r="R10" t="str">
            <v>Sector</v>
          </cell>
          <cell r="S10" t="str">
            <v>Operaciones</v>
          </cell>
          <cell r="T10" t="str">
            <v>Financiación</v>
          </cell>
          <cell r="Y10" t="str">
            <v>Período</v>
          </cell>
          <cell r="Z10" t="str">
            <v>Superávit o</v>
          </cell>
          <cell r="AA10" t="str">
            <v xml:space="preserve">  Financiación</v>
          </cell>
          <cell r="AB10" t="str">
            <v>Causaciones</v>
          </cell>
          <cell r="AD10" t="str">
            <v>Variación Reservas Netas</v>
          </cell>
        </row>
        <row r="11">
          <cell r="E11" t="str">
            <v>e ingresos</v>
          </cell>
          <cell r="F11" t="str">
            <v>no financieros</v>
          </cell>
          <cell r="G11" t="str">
            <v>financieros</v>
          </cell>
          <cell r="I11" t="str">
            <v>Mensual</v>
          </cell>
          <cell r="J11" t="str">
            <v xml:space="preserve">   Año corrido</v>
          </cell>
          <cell r="P11" t="str">
            <v>privado¹</v>
          </cell>
          <cell r="Q11" t="str">
            <v>extranjera</v>
          </cell>
          <cell r="R11" t="str">
            <v>oficial¹</v>
          </cell>
          <cell r="S11" t="str">
            <v>especiales²</v>
          </cell>
          <cell r="T11" t="str">
            <v>neta</v>
          </cell>
          <cell r="Z11" t="str">
            <v>déficit en</v>
          </cell>
          <cell r="AA11" t="str">
            <v>neta</v>
          </cell>
          <cell r="AB11" t="str">
            <v>valuac. y prov.</v>
          </cell>
          <cell r="AD11" t="str">
            <v>Mensual</v>
          </cell>
          <cell r="AE11" t="str">
            <v>Año corrido</v>
          </cell>
        </row>
        <row r="12">
          <cell r="E12" t="str">
            <v>personales</v>
          </cell>
          <cell r="Q12" t="str">
            <v>neta</v>
          </cell>
          <cell r="Z12" t="str">
            <v>Cta. Cte.</v>
          </cell>
        </row>
        <row r="13">
          <cell r="C13" t="str">
            <v>Ene/92</v>
          </cell>
          <cell r="D13">
            <v>114511</v>
          </cell>
          <cell r="E13">
            <v>153740</v>
          </cell>
          <cell r="F13">
            <v>29600</v>
          </cell>
          <cell r="G13">
            <v>33905</v>
          </cell>
          <cell r="I13">
            <v>331756</v>
          </cell>
          <cell r="J13">
            <v>331756</v>
          </cell>
          <cell r="O13" t="str">
            <v>Ene/92</v>
          </cell>
          <cell r="P13">
            <v>0</v>
          </cell>
          <cell r="Q13">
            <v>0</v>
          </cell>
          <cell r="R13">
            <v>0</v>
          </cell>
          <cell r="S13">
            <v>0</v>
          </cell>
          <cell r="T13">
            <v>0</v>
          </cell>
          <cell r="Y13" t="str">
            <v>Ene/92</v>
          </cell>
          <cell r="Z13">
            <v>0</v>
          </cell>
          <cell r="AA13">
            <v>0</v>
          </cell>
          <cell r="AB13">
            <v>0</v>
          </cell>
          <cell r="AD13">
            <v>0</v>
          </cell>
          <cell r="AE13">
            <v>0</v>
          </cell>
        </row>
        <row r="14">
          <cell r="C14" t="str">
            <v>Feb</v>
          </cell>
          <cell r="D14">
            <v>67955</v>
          </cell>
          <cell r="E14">
            <v>127936</v>
          </cell>
          <cell r="F14">
            <v>32100</v>
          </cell>
          <cell r="G14">
            <v>34048</v>
          </cell>
          <cell r="I14">
            <v>262039</v>
          </cell>
          <cell r="J14">
            <v>593795</v>
          </cell>
          <cell r="O14" t="str">
            <v>Feb</v>
          </cell>
          <cell r="P14">
            <v>0</v>
          </cell>
          <cell r="Q14">
            <v>0</v>
          </cell>
          <cell r="R14">
            <v>0</v>
          </cell>
          <cell r="S14">
            <v>0</v>
          </cell>
          <cell r="T14">
            <v>0</v>
          </cell>
          <cell r="Y14" t="str">
            <v>Feb</v>
          </cell>
          <cell r="Z14">
            <v>0</v>
          </cell>
          <cell r="AA14">
            <v>0</v>
          </cell>
          <cell r="AB14">
            <v>0</v>
          </cell>
          <cell r="AD14">
            <v>0</v>
          </cell>
          <cell r="AE14">
            <v>0</v>
          </cell>
        </row>
        <row r="15">
          <cell r="C15" t="str">
            <v>Mar</v>
          </cell>
          <cell r="D15">
            <v>87352</v>
          </cell>
          <cell r="E15">
            <v>161634</v>
          </cell>
          <cell r="F15">
            <v>31400</v>
          </cell>
          <cell r="G15">
            <v>29525</v>
          </cell>
          <cell r="I15">
            <v>309911</v>
          </cell>
          <cell r="J15">
            <v>903706</v>
          </cell>
          <cell r="O15" t="str">
            <v>Mar</v>
          </cell>
          <cell r="P15">
            <v>0</v>
          </cell>
          <cell r="Q15">
            <v>0</v>
          </cell>
          <cell r="R15">
            <v>0</v>
          </cell>
          <cell r="S15">
            <v>0</v>
          </cell>
          <cell r="T15">
            <v>0</v>
          </cell>
          <cell r="Y15" t="str">
            <v>Mar</v>
          </cell>
          <cell r="Z15">
            <v>0</v>
          </cell>
          <cell r="AA15">
            <v>0</v>
          </cell>
          <cell r="AB15">
            <v>0</v>
          </cell>
          <cell r="AD15">
            <v>0</v>
          </cell>
          <cell r="AE15">
            <v>0</v>
          </cell>
        </row>
        <row r="16">
          <cell r="C16" t="str">
            <v>Abr</v>
          </cell>
          <cell r="D16">
            <v>75665</v>
          </cell>
          <cell r="E16">
            <v>152252</v>
          </cell>
          <cell r="F16">
            <v>33200</v>
          </cell>
          <cell r="G16">
            <v>29504</v>
          </cell>
          <cell r="I16">
            <v>290621</v>
          </cell>
          <cell r="J16">
            <v>1194327</v>
          </cell>
          <cell r="O16" t="str">
            <v>Abr</v>
          </cell>
          <cell r="P16">
            <v>0</v>
          </cell>
          <cell r="Q16">
            <v>0</v>
          </cell>
          <cell r="R16">
            <v>0</v>
          </cell>
          <cell r="S16">
            <v>0</v>
          </cell>
          <cell r="T16">
            <v>0</v>
          </cell>
          <cell r="Y16" t="str">
            <v>Abr</v>
          </cell>
          <cell r="Z16">
            <v>0</v>
          </cell>
          <cell r="AA16">
            <v>0</v>
          </cell>
          <cell r="AB16">
            <v>0</v>
          </cell>
          <cell r="AD16">
            <v>0</v>
          </cell>
          <cell r="AE16">
            <v>0</v>
          </cell>
        </row>
        <row r="17">
          <cell r="C17" t="str">
            <v>May</v>
          </cell>
          <cell r="D17">
            <v>60910</v>
          </cell>
          <cell r="E17">
            <v>187880</v>
          </cell>
          <cell r="F17">
            <v>29400</v>
          </cell>
          <cell r="G17">
            <v>34161</v>
          </cell>
          <cell r="I17">
            <v>312351</v>
          </cell>
          <cell r="J17">
            <v>1506678</v>
          </cell>
          <cell r="O17" t="str">
            <v>May</v>
          </cell>
          <cell r="P17">
            <v>0</v>
          </cell>
          <cell r="Q17">
            <v>0</v>
          </cell>
          <cell r="R17">
            <v>0</v>
          </cell>
          <cell r="S17">
            <v>0</v>
          </cell>
          <cell r="T17">
            <v>0</v>
          </cell>
          <cell r="Y17" t="str">
            <v>May</v>
          </cell>
          <cell r="Z17">
            <v>0</v>
          </cell>
          <cell r="AA17">
            <v>0</v>
          </cell>
          <cell r="AB17">
            <v>0</v>
          </cell>
          <cell r="AD17">
            <v>0</v>
          </cell>
          <cell r="AE17">
            <v>0</v>
          </cell>
        </row>
        <row r="18">
          <cell r="C18" t="str">
            <v>Jun</v>
          </cell>
          <cell r="D18">
            <v>69787</v>
          </cell>
          <cell r="E18">
            <v>187504</v>
          </cell>
          <cell r="F18">
            <v>26300</v>
          </cell>
          <cell r="G18">
            <v>31825</v>
          </cell>
          <cell r="I18">
            <v>315416</v>
          </cell>
          <cell r="J18">
            <v>1822094</v>
          </cell>
          <cell r="O18" t="str">
            <v>Jun</v>
          </cell>
          <cell r="P18">
            <v>0</v>
          </cell>
          <cell r="Q18">
            <v>0</v>
          </cell>
          <cell r="R18">
            <v>0</v>
          </cell>
          <cell r="S18">
            <v>0</v>
          </cell>
          <cell r="T18">
            <v>0</v>
          </cell>
          <cell r="Y18" t="str">
            <v>Jun</v>
          </cell>
          <cell r="Z18">
            <v>0</v>
          </cell>
          <cell r="AA18">
            <v>0</v>
          </cell>
          <cell r="AB18">
            <v>0</v>
          </cell>
          <cell r="AD18">
            <v>0</v>
          </cell>
          <cell r="AE18">
            <v>0</v>
          </cell>
        </row>
        <row r="19">
          <cell r="C19" t="str">
            <v>Jul</v>
          </cell>
          <cell r="D19">
            <v>71327</v>
          </cell>
          <cell r="E19">
            <v>150709</v>
          </cell>
          <cell r="F19">
            <v>27800</v>
          </cell>
          <cell r="G19">
            <v>31572</v>
          </cell>
          <cell r="I19">
            <v>281408</v>
          </cell>
          <cell r="J19">
            <v>2103502</v>
          </cell>
          <cell r="O19" t="str">
            <v>Jul</v>
          </cell>
          <cell r="P19">
            <v>0</v>
          </cell>
          <cell r="Q19">
            <v>0</v>
          </cell>
          <cell r="R19">
            <v>0</v>
          </cell>
          <cell r="S19">
            <v>0</v>
          </cell>
          <cell r="T19">
            <v>0</v>
          </cell>
          <cell r="Y19" t="str">
            <v>Jul</v>
          </cell>
          <cell r="Z19">
            <v>0</v>
          </cell>
          <cell r="AA19">
            <v>0</v>
          </cell>
          <cell r="AB19">
            <v>0</v>
          </cell>
          <cell r="AD19">
            <v>0</v>
          </cell>
          <cell r="AE19">
            <v>0</v>
          </cell>
        </row>
        <row r="20">
          <cell r="C20" t="str">
            <v>Ago</v>
          </cell>
          <cell r="D20">
            <v>62021</v>
          </cell>
          <cell r="E20">
            <v>81215</v>
          </cell>
          <cell r="F20">
            <v>28100</v>
          </cell>
          <cell r="G20">
            <v>32021</v>
          </cell>
          <cell r="I20">
            <v>203357</v>
          </cell>
          <cell r="J20">
            <v>2306859</v>
          </cell>
          <cell r="O20" t="str">
            <v>Ago</v>
          </cell>
          <cell r="P20">
            <v>0</v>
          </cell>
          <cell r="Q20">
            <v>0</v>
          </cell>
          <cell r="R20">
            <v>0</v>
          </cell>
          <cell r="S20">
            <v>0</v>
          </cell>
          <cell r="T20">
            <v>0</v>
          </cell>
          <cell r="Y20" t="str">
            <v>Ago</v>
          </cell>
          <cell r="Z20">
            <v>0</v>
          </cell>
          <cell r="AA20">
            <v>0</v>
          </cell>
          <cell r="AB20">
            <v>0</v>
          </cell>
          <cell r="AD20">
            <v>0</v>
          </cell>
          <cell r="AE20">
            <v>0</v>
          </cell>
        </row>
        <row r="21">
          <cell r="C21" t="str">
            <v>Sep</v>
          </cell>
          <cell r="D21">
            <v>95781</v>
          </cell>
          <cell r="E21">
            <v>103732</v>
          </cell>
          <cell r="F21">
            <v>39900</v>
          </cell>
          <cell r="G21">
            <v>30567</v>
          </cell>
          <cell r="I21">
            <v>269980</v>
          </cell>
          <cell r="J21">
            <v>2576839</v>
          </cell>
          <cell r="O21" t="str">
            <v>Sep</v>
          </cell>
          <cell r="P21">
            <v>0</v>
          </cell>
          <cell r="Q21">
            <v>0</v>
          </cell>
          <cell r="R21">
            <v>0</v>
          </cell>
          <cell r="S21">
            <v>0</v>
          </cell>
          <cell r="T21">
            <v>0</v>
          </cell>
          <cell r="Y21" t="str">
            <v>Sep</v>
          </cell>
          <cell r="Z21">
            <v>0</v>
          </cell>
          <cell r="AA21">
            <v>0</v>
          </cell>
          <cell r="AB21">
            <v>0</v>
          </cell>
          <cell r="AD21">
            <v>0</v>
          </cell>
          <cell r="AE21">
            <v>0</v>
          </cell>
        </row>
        <row r="22">
          <cell r="C22" t="str">
            <v>Oct</v>
          </cell>
          <cell r="D22">
            <v>26679</v>
          </cell>
          <cell r="E22">
            <v>82878</v>
          </cell>
          <cell r="F22">
            <v>62000</v>
          </cell>
          <cell r="G22">
            <v>43353</v>
          </cell>
          <cell r="I22">
            <v>214910</v>
          </cell>
          <cell r="J22">
            <v>2791749</v>
          </cell>
          <cell r="O22" t="str">
            <v>Oct</v>
          </cell>
          <cell r="P22">
            <v>0</v>
          </cell>
          <cell r="Q22">
            <v>0</v>
          </cell>
          <cell r="R22">
            <v>0</v>
          </cell>
          <cell r="S22">
            <v>0</v>
          </cell>
          <cell r="T22">
            <v>0</v>
          </cell>
          <cell r="Y22" t="str">
            <v>Oct</v>
          </cell>
          <cell r="Z22">
            <v>0</v>
          </cell>
          <cell r="AA22">
            <v>0</v>
          </cell>
          <cell r="AB22">
            <v>0</v>
          </cell>
          <cell r="AD22">
            <v>0</v>
          </cell>
          <cell r="AE22">
            <v>0</v>
          </cell>
        </row>
        <row r="23">
          <cell r="C23" t="str">
            <v>Nov</v>
          </cell>
          <cell r="D23">
            <v>33120</v>
          </cell>
          <cell r="E23">
            <v>80885</v>
          </cell>
          <cell r="F23">
            <v>43100</v>
          </cell>
          <cell r="G23">
            <v>34207</v>
          </cell>
          <cell r="I23">
            <v>191312</v>
          </cell>
          <cell r="J23">
            <v>2983061</v>
          </cell>
          <cell r="O23" t="str">
            <v>Nov</v>
          </cell>
          <cell r="P23">
            <v>0</v>
          </cell>
          <cell r="Q23">
            <v>0</v>
          </cell>
          <cell r="R23">
            <v>0</v>
          </cell>
          <cell r="S23">
            <v>0</v>
          </cell>
          <cell r="T23">
            <v>0</v>
          </cell>
          <cell r="Y23" t="str">
            <v>Nov</v>
          </cell>
          <cell r="Z23">
            <v>0</v>
          </cell>
          <cell r="AA23">
            <v>0</v>
          </cell>
          <cell r="AB23">
            <v>0</v>
          </cell>
          <cell r="AD23">
            <v>0</v>
          </cell>
          <cell r="AE23">
            <v>0</v>
          </cell>
        </row>
        <row r="24">
          <cell r="C24" t="str">
            <v>Dic</v>
          </cell>
          <cell r="D24">
            <v>32277</v>
          </cell>
          <cell r="E24">
            <v>122500</v>
          </cell>
          <cell r="F24">
            <v>34000</v>
          </cell>
          <cell r="G24">
            <v>31163</v>
          </cell>
          <cell r="I24">
            <v>219940</v>
          </cell>
          <cell r="J24">
            <v>3203001</v>
          </cell>
          <cell r="O24" t="str">
            <v>Dic</v>
          </cell>
          <cell r="P24">
            <v>0</v>
          </cell>
          <cell r="Q24">
            <v>0</v>
          </cell>
          <cell r="R24">
            <v>0</v>
          </cell>
          <cell r="S24">
            <v>0</v>
          </cell>
          <cell r="T24">
            <v>0</v>
          </cell>
          <cell r="Y24" t="str">
            <v>Dic</v>
          </cell>
          <cell r="Z24">
            <v>0</v>
          </cell>
          <cell r="AA24">
            <v>0</v>
          </cell>
          <cell r="AB24">
            <v>0</v>
          </cell>
          <cell r="AD24">
            <v>0</v>
          </cell>
          <cell r="AE24">
            <v>0</v>
          </cell>
        </row>
        <row r="25">
          <cell r="C25" t="str">
            <v>Ene/93</v>
          </cell>
          <cell r="D25">
            <v>42301.246950000001</v>
          </cell>
          <cell r="E25">
            <v>50717.076639999999</v>
          </cell>
          <cell r="F25">
            <v>25797.451659999999</v>
          </cell>
          <cell r="G25">
            <v>3826.4597199999998</v>
          </cell>
          <cell r="I25">
            <v>122642.23497</v>
          </cell>
          <cell r="J25">
            <v>122642.23497</v>
          </cell>
          <cell r="O25" t="str">
            <v>Ene/93</v>
          </cell>
          <cell r="P25">
            <v>0</v>
          </cell>
          <cell r="Q25">
            <v>0</v>
          </cell>
          <cell r="R25">
            <v>0</v>
          </cell>
          <cell r="S25">
            <v>0</v>
          </cell>
          <cell r="T25">
            <v>0</v>
          </cell>
          <cell r="Y25" t="str">
            <v>Ene/93</v>
          </cell>
          <cell r="Z25">
            <v>0</v>
          </cell>
          <cell r="AA25">
            <v>0</v>
          </cell>
          <cell r="AB25">
            <v>0</v>
          </cell>
          <cell r="AD25">
            <v>0</v>
          </cell>
          <cell r="AE25">
            <v>0</v>
          </cell>
        </row>
        <row r="26">
          <cell r="C26" t="str">
            <v>Feb</v>
          </cell>
          <cell r="D26">
            <v>40683.953419999998</v>
          </cell>
          <cell r="E26">
            <v>84177.152990000002</v>
          </cell>
          <cell r="F26">
            <v>33469.500160000003</v>
          </cell>
          <cell r="G26">
            <v>19947.53514</v>
          </cell>
          <cell r="I26">
            <v>178278.14171</v>
          </cell>
          <cell r="J26">
            <v>300920.37667999999</v>
          </cell>
          <cell r="O26" t="str">
            <v>Feb</v>
          </cell>
          <cell r="P26">
            <v>0</v>
          </cell>
          <cell r="Q26">
            <v>0</v>
          </cell>
          <cell r="R26">
            <v>0</v>
          </cell>
          <cell r="S26">
            <v>0</v>
          </cell>
          <cell r="T26">
            <v>0</v>
          </cell>
          <cell r="Y26" t="str">
            <v>Feb</v>
          </cell>
          <cell r="Z26">
            <v>0</v>
          </cell>
          <cell r="AA26">
            <v>0</v>
          </cell>
          <cell r="AB26">
            <v>0</v>
          </cell>
          <cell r="AD26">
            <v>0</v>
          </cell>
          <cell r="AE26">
            <v>0</v>
          </cell>
        </row>
        <row r="27">
          <cell r="C27" t="str">
            <v>Mar</v>
          </cell>
          <cell r="D27">
            <v>65350.022790000003</v>
          </cell>
          <cell r="E27">
            <v>93550.699630000003</v>
          </cell>
          <cell r="F27">
            <v>48519.601139999999</v>
          </cell>
          <cell r="G27">
            <v>19575.386450000002</v>
          </cell>
          <cell r="I27">
            <v>226995.71001000001</v>
          </cell>
          <cell r="J27">
            <v>527916.08669000003</v>
          </cell>
          <cell r="O27" t="str">
            <v>Mar</v>
          </cell>
          <cell r="P27">
            <v>0</v>
          </cell>
          <cell r="Q27">
            <v>0</v>
          </cell>
          <cell r="R27">
            <v>0</v>
          </cell>
          <cell r="S27">
            <v>0</v>
          </cell>
          <cell r="T27">
            <v>0</v>
          </cell>
          <cell r="Y27" t="str">
            <v>Mar</v>
          </cell>
          <cell r="Z27">
            <v>0</v>
          </cell>
          <cell r="AA27">
            <v>0</v>
          </cell>
          <cell r="AB27">
            <v>0</v>
          </cell>
          <cell r="AD27">
            <v>0</v>
          </cell>
          <cell r="AE27">
            <v>0</v>
          </cell>
        </row>
        <row r="28">
          <cell r="C28" t="str">
            <v>Abr</v>
          </cell>
          <cell r="D28">
            <v>57920.03671</v>
          </cell>
          <cell r="E28">
            <v>118624.52353000001</v>
          </cell>
          <cell r="F28">
            <v>44640.802329999999</v>
          </cell>
          <cell r="G28">
            <v>34349.11073</v>
          </cell>
          <cell r="I28">
            <v>255534.47330000001</v>
          </cell>
          <cell r="J28">
            <v>783450.55998999998</v>
          </cell>
          <cell r="O28" t="str">
            <v>Abr</v>
          </cell>
          <cell r="P28">
            <v>0</v>
          </cell>
          <cell r="Q28">
            <v>0</v>
          </cell>
          <cell r="R28">
            <v>0</v>
          </cell>
          <cell r="S28">
            <v>0</v>
          </cell>
          <cell r="T28">
            <v>0</v>
          </cell>
          <cell r="Y28" t="str">
            <v>Abr</v>
          </cell>
          <cell r="Z28">
            <v>0</v>
          </cell>
          <cell r="AA28">
            <v>0</v>
          </cell>
          <cell r="AB28">
            <v>0</v>
          </cell>
          <cell r="AD28">
            <v>0</v>
          </cell>
          <cell r="AE28">
            <v>0</v>
          </cell>
        </row>
        <row r="29">
          <cell r="C29" t="str">
            <v>May</v>
          </cell>
          <cell r="D29">
            <v>81486.929959999994</v>
          </cell>
          <cell r="E29">
            <v>166883.22302999999</v>
          </cell>
          <cell r="F29">
            <v>51822.981200000002</v>
          </cell>
          <cell r="G29">
            <v>49345.340120000001</v>
          </cell>
          <cell r="I29">
            <v>349538.47431000002</v>
          </cell>
          <cell r="J29">
            <v>1132989.0342999999</v>
          </cell>
          <cell r="O29" t="str">
            <v>May</v>
          </cell>
          <cell r="P29">
            <v>0</v>
          </cell>
          <cell r="Q29">
            <v>0</v>
          </cell>
          <cell r="R29">
            <v>0</v>
          </cell>
          <cell r="S29">
            <v>0</v>
          </cell>
          <cell r="T29">
            <v>0</v>
          </cell>
          <cell r="Y29" t="str">
            <v>May</v>
          </cell>
          <cell r="Z29">
            <v>0</v>
          </cell>
          <cell r="AA29">
            <v>0</v>
          </cell>
          <cell r="AB29">
            <v>0</v>
          </cell>
          <cell r="AD29">
            <v>0</v>
          </cell>
          <cell r="AE29">
            <v>0</v>
          </cell>
        </row>
        <row r="30">
          <cell r="C30" t="str">
            <v>Jun</v>
          </cell>
          <cell r="D30">
            <v>77198.400869999998</v>
          </cell>
          <cell r="E30">
            <v>196376.38672000001</v>
          </cell>
          <cell r="F30">
            <v>76262.833329999994</v>
          </cell>
          <cell r="G30">
            <v>72506.699349999995</v>
          </cell>
          <cell r="I30">
            <v>422344.32027000003</v>
          </cell>
          <cell r="J30">
            <v>1555333.35457</v>
          </cell>
          <cell r="O30" t="str">
            <v>Jun</v>
          </cell>
          <cell r="P30">
            <v>0</v>
          </cell>
          <cell r="Q30">
            <v>0</v>
          </cell>
          <cell r="R30">
            <v>0</v>
          </cell>
          <cell r="S30">
            <v>0</v>
          </cell>
          <cell r="T30">
            <v>0</v>
          </cell>
          <cell r="Y30" t="str">
            <v>Jun</v>
          </cell>
          <cell r="Z30">
            <v>0</v>
          </cell>
          <cell r="AA30">
            <v>0</v>
          </cell>
          <cell r="AB30">
            <v>0</v>
          </cell>
          <cell r="AD30">
            <v>0</v>
          </cell>
          <cell r="AE30">
            <v>0</v>
          </cell>
        </row>
        <row r="31">
          <cell r="C31" t="str">
            <v>Jul</v>
          </cell>
          <cell r="D31">
            <v>71646.485990000001</v>
          </cell>
          <cell r="E31">
            <v>96500.261679999996</v>
          </cell>
          <cell r="F31">
            <v>54008.703730000001</v>
          </cell>
          <cell r="G31">
            <v>49172.853779999998</v>
          </cell>
          <cell r="I31">
            <v>271328.30518000002</v>
          </cell>
          <cell r="J31">
            <v>1826661.6597500001</v>
          </cell>
          <cell r="O31" t="str">
            <v>Jul</v>
          </cell>
          <cell r="P31">
            <v>0</v>
          </cell>
          <cell r="Q31">
            <v>0</v>
          </cell>
          <cell r="R31">
            <v>0</v>
          </cell>
          <cell r="S31">
            <v>0</v>
          </cell>
          <cell r="T31">
            <v>0</v>
          </cell>
          <cell r="Y31" t="str">
            <v>Jul</v>
          </cell>
          <cell r="Z31">
            <v>0</v>
          </cell>
          <cell r="AA31">
            <v>0</v>
          </cell>
          <cell r="AB31">
            <v>0</v>
          </cell>
          <cell r="AD31">
            <v>0</v>
          </cell>
          <cell r="AE31">
            <v>0</v>
          </cell>
        </row>
        <row r="32">
          <cell r="C32" t="str">
            <v>Ago</v>
          </cell>
          <cell r="D32">
            <v>74645.982380000001</v>
          </cell>
          <cell r="E32">
            <v>80957.482440000007</v>
          </cell>
          <cell r="F32">
            <v>41071.064689999999</v>
          </cell>
          <cell r="G32">
            <v>72102.743210000001</v>
          </cell>
          <cell r="I32">
            <v>268777.27272000001</v>
          </cell>
          <cell r="J32">
            <v>2095438.9324700001</v>
          </cell>
          <cell r="O32" t="str">
            <v>Ago</v>
          </cell>
          <cell r="P32">
            <v>0</v>
          </cell>
          <cell r="Q32">
            <v>0</v>
          </cell>
          <cell r="R32">
            <v>0</v>
          </cell>
          <cell r="S32">
            <v>0</v>
          </cell>
          <cell r="T32">
            <v>0</v>
          </cell>
          <cell r="Y32" t="str">
            <v>Ago</v>
          </cell>
          <cell r="Z32">
            <v>0</v>
          </cell>
          <cell r="AA32">
            <v>0</v>
          </cell>
          <cell r="AB32">
            <v>0</v>
          </cell>
          <cell r="AD32">
            <v>0</v>
          </cell>
          <cell r="AE32">
            <v>0</v>
          </cell>
        </row>
        <row r="33">
          <cell r="C33" t="str">
            <v>Sep</v>
          </cell>
          <cell r="D33">
            <v>61686.985249999998</v>
          </cell>
          <cell r="E33">
            <v>94210.686660000007</v>
          </cell>
          <cell r="F33">
            <v>49176.18219</v>
          </cell>
          <cell r="G33">
            <v>52466.730109999997</v>
          </cell>
          <cell r="I33">
            <v>257540.58421</v>
          </cell>
          <cell r="J33">
            <v>2352979.5166800003</v>
          </cell>
          <cell r="O33" t="str">
            <v>Sep</v>
          </cell>
          <cell r="P33">
            <v>0</v>
          </cell>
          <cell r="Q33">
            <v>0</v>
          </cell>
          <cell r="R33">
            <v>0</v>
          </cell>
          <cell r="S33">
            <v>0</v>
          </cell>
          <cell r="T33">
            <v>0</v>
          </cell>
          <cell r="Y33" t="str">
            <v>Sep</v>
          </cell>
          <cell r="Z33">
            <v>0</v>
          </cell>
          <cell r="AA33">
            <v>0</v>
          </cell>
          <cell r="AB33">
            <v>0</v>
          </cell>
          <cell r="AD33">
            <v>0</v>
          </cell>
          <cell r="AE33">
            <v>0</v>
          </cell>
        </row>
        <row r="34">
          <cell r="C34" t="str">
            <v>Oct</v>
          </cell>
          <cell r="D34">
            <v>49725.894390000001</v>
          </cell>
          <cell r="E34">
            <v>50325.549939999997</v>
          </cell>
          <cell r="F34">
            <v>59841.582900000001</v>
          </cell>
          <cell r="G34">
            <v>63327.290690000002</v>
          </cell>
          <cell r="I34">
            <v>223220.31792</v>
          </cell>
          <cell r="J34">
            <v>2576199.8346000002</v>
          </cell>
          <cell r="O34" t="str">
            <v>Oct*</v>
          </cell>
          <cell r="P34">
            <v>0</v>
          </cell>
          <cell r="Q34">
            <v>0</v>
          </cell>
          <cell r="R34">
            <v>0</v>
          </cell>
          <cell r="S34">
            <v>0</v>
          </cell>
          <cell r="T34">
            <v>0</v>
          </cell>
          <cell r="Y34" t="str">
            <v>Oct*</v>
          </cell>
          <cell r="Z34">
            <v>0</v>
          </cell>
          <cell r="AA34">
            <v>0</v>
          </cell>
          <cell r="AB34">
            <v>0</v>
          </cell>
          <cell r="AD34">
            <v>0</v>
          </cell>
          <cell r="AE34">
            <v>0</v>
          </cell>
        </row>
        <row r="35">
          <cell r="C35" t="str">
            <v>Nov</v>
          </cell>
          <cell r="D35">
            <v>73458.465620000003</v>
          </cell>
          <cell r="E35">
            <v>58802.51902</v>
          </cell>
          <cell r="F35">
            <v>48203.709430000003</v>
          </cell>
          <cell r="G35">
            <v>43088.265059999998</v>
          </cell>
          <cell r="I35">
            <v>223552.95913</v>
          </cell>
          <cell r="J35">
            <v>2799752.79373</v>
          </cell>
          <cell r="O35" t="str">
            <v>Nov*</v>
          </cell>
          <cell r="P35">
            <v>0</v>
          </cell>
          <cell r="Q35">
            <v>0</v>
          </cell>
          <cell r="R35">
            <v>0</v>
          </cell>
          <cell r="S35">
            <v>0</v>
          </cell>
          <cell r="T35">
            <v>0</v>
          </cell>
          <cell r="Y35" t="str">
            <v>Nov*</v>
          </cell>
          <cell r="Z35">
            <v>0</v>
          </cell>
          <cell r="AA35">
            <v>0</v>
          </cell>
          <cell r="AB35">
            <v>0</v>
          </cell>
          <cell r="AD35">
            <v>0</v>
          </cell>
          <cell r="AE35">
            <v>0</v>
          </cell>
        </row>
        <row r="36">
          <cell r="C36" t="str">
            <v>Dic*</v>
          </cell>
          <cell r="D36">
            <v>38267.381179999997</v>
          </cell>
          <cell r="E36">
            <v>61910.056080000002</v>
          </cell>
          <cell r="F36">
            <v>90751.412259999997</v>
          </cell>
          <cell r="G36">
            <v>49646.904309999998</v>
          </cell>
          <cell r="I36">
            <v>240575.75383</v>
          </cell>
          <cell r="J36">
            <v>3040328.5475599999</v>
          </cell>
          <cell r="O36" t="str">
            <v>Dic*</v>
          </cell>
          <cell r="P36">
            <v>0</v>
          </cell>
          <cell r="Q36">
            <v>0</v>
          </cell>
          <cell r="R36">
            <v>0</v>
          </cell>
          <cell r="S36">
            <v>0</v>
          </cell>
          <cell r="T36">
            <v>0</v>
          </cell>
          <cell r="Y36" t="str">
            <v>Dic*</v>
          </cell>
          <cell r="Z36">
            <v>0</v>
          </cell>
          <cell r="AA36">
            <v>0</v>
          </cell>
          <cell r="AB36">
            <v>0</v>
          </cell>
          <cell r="AD36">
            <v>0</v>
          </cell>
          <cell r="AE36">
            <v>0</v>
          </cell>
        </row>
        <row r="37">
          <cell r="B37">
            <v>1994</v>
          </cell>
          <cell r="C37" t="str">
            <v>Ene</v>
          </cell>
          <cell r="D37">
            <v>52309.503879999997</v>
          </cell>
          <cell r="E37">
            <v>60242.882149999998</v>
          </cell>
          <cell r="F37">
            <v>89650.704140000002</v>
          </cell>
          <cell r="G37">
            <v>9462.7562500000004</v>
          </cell>
          <cell r="I37">
            <v>211665.84641999999</v>
          </cell>
          <cell r="J37">
            <v>211665.84641999999</v>
          </cell>
          <cell r="N37">
            <v>1994</v>
          </cell>
          <cell r="O37" t="str">
            <v>Ene</v>
          </cell>
          <cell r="P37">
            <v>98856.574869999997</v>
          </cell>
          <cell r="Q37">
            <v>4289.4307799999997</v>
          </cell>
          <cell r="R37">
            <v>36038.230360000001</v>
          </cell>
          <cell r="S37">
            <v>-58487.178059999998</v>
          </cell>
          <cell r="T37">
            <v>80697.057950000002</v>
          </cell>
          <cell r="X37">
            <v>1994</v>
          </cell>
          <cell r="Y37" t="str">
            <v>Ene</v>
          </cell>
          <cell r="Z37">
            <v>-4908.22703</v>
          </cell>
          <cell r="AA37">
            <v>80697.057950000002</v>
          </cell>
          <cell r="AB37">
            <v>44490.059780000003</v>
          </cell>
          <cell r="AD37">
            <v>120278.89070000002</v>
          </cell>
          <cell r="AE37">
            <v>120278.89070000002</v>
          </cell>
        </row>
        <row r="38">
          <cell r="C38" t="str">
            <v>Feb</v>
          </cell>
          <cell r="D38">
            <v>64373.86765</v>
          </cell>
          <cell r="E38">
            <v>61938.00589</v>
          </cell>
          <cell r="F38">
            <v>72270.177389999997</v>
          </cell>
          <cell r="G38">
            <v>28929.449619999999</v>
          </cell>
          <cell r="I38">
            <v>227511.50055</v>
          </cell>
          <cell r="J38">
            <v>439177.34696999996</v>
          </cell>
          <cell r="O38" t="str">
            <v>Feb</v>
          </cell>
          <cell r="P38">
            <v>64279.223619999997</v>
          </cell>
          <cell r="Q38">
            <v>54150.321340000002</v>
          </cell>
          <cell r="R38">
            <v>-828.8905299999999</v>
          </cell>
          <cell r="S38">
            <v>-72515.964080000005</v>
          </cell>
          <cell r="T38">
            <v>45084.690349999997</v>
          </cell>
          <cell r="Y38" t="str">
            <v>Feb</v>
          </cell>
          <cell r="Z38">
            <v>11986.49914</v>
          </cell>
          <cell r="AA38">
            <v>45084.690349999997</v>
          </cell>
          <cell r="AB38">
            <v>34718.121619999998</v>
          </cell>
          <cell r="AD38">
            <v>91789.311109999995</v>
          </cell>
          <cell r="AE38">
            <v>212068.20181</v>
          </cell>
        </row>
        <row r="39">
          <cell r="C39" t="str">
            <v>Mar</v>
          </cell>
          <cell r="D39">
            <v>73804.892139999996</v>
          </cell>
          <cell r="E39">
            <v>61026.077149999997</v>
          </cell>
          <cell r="F39">
            <v>149632.56168000001</v>
          </cell>
          <cell r="G39">
            <v>27905.126489999999</v>
          </cell>
          <cell r="I39">
            <v>312368.65746000002</v>
          </cell>
          <cell r="J39">
            <v>751546.00442999997</v>
          </cell>
          <cell r="O39" t="str">
            <v>Mar</v>
          </cell>
          <cell r="P39">
            <v>129551.92991000001</v>
          </cell>
          <cell r="Q39">
            <v>9726.9258000000009</v>
          </cell>
          <cell r="R39">
            <v>10458.380590000001</v>
          </cell>
          <cell r="S39">
            <v>-62354.540079999999</v>
          </cell>
          <cell r="T39">
            <v>87382.696219999998</v>
          </cell>
          <cell r="Y39" t="str">
            <v>Mar</v>
          </cell>
          <cell r="Z39">
            <v>-37545.162400000001</v>
          </cell>
          <cell r="AA39">
            <v>87382.696219999998</v>
          </cell>
          <cell r="AB39">
            <v>-300</v>
          </cell>
          <cell r="AD39">
            <v>49537.533819999997</v>
          </cell>
          <cell r="AE39">
            <v>261605.73563000001</v>
          </cell>
        </row>
        <row r="40">
          <cell r="C40" t="str">
            <v>Abr</v>
          </cell>
          <cell r="D40">
            <v>73059.445259999993</v>
          </cell>
          <cell r="E40">
            <v>69096.412479999999</v>
          </cell>
          <cell r="F40">
            <v>80471.967480000007</v>
          </cell>
          <cell r="G40">
            <v>33748.590669999998</v>
          </cell>
          <cell r="I40">
            <v>256376.41589</v>
          </cell>
          <cell r="J40">
            <v>1007922.42032</v>
          </cell>
          <cell r="O40" t="str">
            <v>Abr</v>
          </cell>
          <cell r="P40">
            <v>47093.828269999998</v>
          </cell>
          <cell r="Q40">
            <v>-3644.83925</v>
          </cell>
          <cell r="R40">
            <v>-117689.03946</v>
          </cell>
          <cell r="S40">
            <v>29204.909790000002</v>
          </cell>
          <cell r="T40">
            <v>-45035.140650000001</v>
          </cell>
          <cell r="Y40" t="str">
            <v>Abr</v>
          </cell>
          <cell r="Z40">
            <v>-211922.83567</v>
          </cell>
          <cell r="AA40">
            <v>-45035.140650000001</v>
          </cell>
          <cell r="AB40">
            <v>7100</v>
          </cell>
          <cell r="AD40">
            <v>-249857.97632000002</v>
          </cell>
          <cell r="AE40">
            <v>11747.759309999994</v>
          </cell>
        </row>
        <row r="41">
          <cell r="C41" t="str">
            <v>May</v>
          </cell>
          <cell r="D41">
            <v>89141.745869999999</v>
          </cell>
          <cell r="E41">
            <v>73205.126600000003</v>
          </cell>
          <cell r="F41">
            <v>77062.059139999998</v>
          </cell>
          <cell r="G41">
            <v>50202.986570000001</v>
          </cell>
          <cell r="I41">
            <v>289611.91817999998</v>
          </cell>
          <cell r="J41">
            <v>1297534.3385000001</v>
          </cell>
          <cell r="O41" t="str">
            <v>May</v>
          </cell>
          <cell r="P41">
            <v>77540.745519999997</v>
          </cell>
          <cell r="Q41">
            <v>46822.13841</v>
          </cell>
          <cell r="R41">
            <v>17791.5088</v>
          </cell>
          <cell r="S41">
            <v>-67474.35411</v>
          </cell>
          <cell r="T41">
            <v>74680.038620000007</v>
          </cell>
          <cell r="Y41" t="str">
            <v>May</v>
          </cell>
          <cell r="Z41">
            <v>-80495.011620000005</v>
          </cell>
          <cell r="AA41">
            <v>74680.038620000007</v>
          </cell>
          <cell r="AB41">
            <v>-24400</v>
          </cell>
          <cell r="AD41">
            <v>-30214.972999999998</v>
          </cell>
          <cell r="AE41">
            <v>-18467.213690000004</v>
          </cell>
        </row>
        <row r="42">
          <cell r="C42" t="str">
            <v>Jun</v>
          </cell>
          <cell r="D42">
            <v>28983.359229999998</v>
          </cell>
          <cell r="E42">
            <v>73202.831709999999</v>
          </cell>
          <cell r="F42">
            <v>84461.793130000005</v>
          </cell>
          <cell r="G42">
            <v>35883.778319999998</v>
          </cell>
          <cell r="I42">
            <v>222531.76238999999</v>
          </cell>
          <cell r="J42">
            <v>1520066.1008900001</v>
          </cell>
          <cell r="O42" t="str">
            <v>Jun</v>
          </cell>
          <cell r="P42">
            <v>81499.983550000004</v>
          </cell>
          <cell r="Q42">
            <v>47933.055240000002</v>
          </cell>
          <cell r="R42">
            <v>78901.906310000006</v>
          </cell>
          <cell r="S42">
            <v>50103.131099999999</v>
          </cell>
          <cell r="T42">
            <v>258438.07620000001</v>
          </cell>
          <cell r="Y42" t="str">
            <v>Jun</v>
          </cell>
          <cell r="Z42">
            <v>-198288.44552000001</v>
          </cell>
          <cell r="AA42">
            <v>258438.07620000001</v>
          </cell>
          <cell r="AB42">
            <v>78000</v>
          </cell>
          <cell r="AD42">
            <v>138149.63068</v>
          </cell>
          <cell r="AE42">
            <v>119682.41699</v>
          </cell>
        </row>
        <row r="43">
          <cell r="C43" t="str">
            <v>Jul</v>
          </cell>
          <cell r="D43">
            <v>26809.723010000002</v>
          </cell>
          <cell r="E43">
            <v>53870.473660000003</v>
          </cell>
          <cell r="F43">
            <v>99130.333379999996</v>
          </cell>
          <cell r="G43">
            <v>40250.966249999998</v>
          </cell>
          <cell r="I43">
            <v>220061.4963</v>
          </cell>
          <cell r="J43">
            <v>1740127.5971900001</v>
          </cell>
          <cell r="O43" t="str">
            <v>Jul</v>
          </cell>
          <cell r="P43">
            <v>57597.961060000001</v>
          </cell>
          <cell r="Q43">
            <v>45992.493949999996</v>
          </cell>
          <cell r="R43">
            <v>6421.5344699999996</v>
          </cell>
          <cell r="S43">
            <v>19696.643769999999</v>
          </cell>
          <cell r="T43">
            <v>129708.63325</v>
          </cell>
          <cell r="Y43" t="str">
            <v>Jul</v>
          </cell>
          <cell r="Z43">
            <v>-157479.63325000001</v>
          </cell>
          <cell r="AA43">
            <v>129708.63325</v>
          </cell>
          <cell r="AB43">
            <v>6300</v>
          </cell>
          <cell r="AD43">
            <v>-21471.000000000015</v>
          </cell>
          <cell r="AE43">
            <v>98211.416989999983</v>
          </cell>
        </row>
        <row r="44">
          <cell r="C44" t="str">
            <v>Ago</v>
          </cell>
          <cell r="D44">
            <v>46806.30833</v>
          </cell>
          <cell r="E44">
            <v>86839.308529999995</v>
          </cell>
          <cell r="F44">
            <v>118279.30605</v>
          </cell>
          <cell r="G44">
            <v>56747.821629999999</v>
          </cell>
          <cell r="I44">
            <v>308672.74453999999</v>
          </cell>
          <cell r="J44">
            <v>2048800.34173</v>
          </cell>
          <cell r="O44" t="str">
            <v>Ago</v>
          </cell>
          <cell r="P44">
            <v>177739.83257999999</v>
          </cell>
          <cell r="Q44">
            <v>60334.076099999998</v>
          </cell>
          <cell r="R44">
            <v>-39035.508719999998</v>
          </cell>
          <cell r="S44">
            <v>89581.632180000001</v>
          </cell>
          <cell r="T44">
            <v>288620.03214000002</v>
          </cell>
          <cell r="Y44" t="str">
            <v>Ago</v>
          </cell>
          <cell r="Z44">
            <v>-261226.38242000001</v>
          </cell>
          <cell r="AA44">
            <v>288620.03214000002</v>
          </cell>
          <cell r="AB44">
            <v>-23400</v>
          </cell>
          <cell r="AD44">
            <v>3993.6497200000158</v>
          </cell>
          <cell r="AE44">
            <v>102205.06671</v>
          </cell>
        </row>
        <row r="45">
          <cell r="C45" t="str">
            <v>Sep</v>
          </cell>
          <cell r="D45">
            <v>50895.738290000001</v>
          </cell>
          <cell r="E45">
            <v>89909.724260000003</v>
          </cell>
          <cell r="F45">
            <v>155005.60112000001</v>
          </cell>
          <cell r="G45">
            <v>45676.038439999997</v>
          </cell>
          <cell r="I45">
            <v>341487.10210999998</v>
          </cell>
          <cell r="J45">
            <v>2390287.4438399998</v>
          </cell>
          <cell r="O45" t="str">
            <v>Sep</v>
          </cell>
          <cell r="P45">
            <v>216333.40627000001</v>
          </cell>
          <cell r="Q45">
            <v>50085.761939999997</v>
          </cell>
          <cell r="R45">
            <v>-205960.07115999999</v>
          </cell>
          <cell r="S45">
            <v>-66595.684150000001</v>
          </cell>
          <cell r="T45">
            <v>-6136.5870999999997</v>
          </cell>
          <cell r="Y45" t="str">
            <v>Sep</v>
          </cell>
          <cell r="Z45">
            <v>-194206.77778</v>
          </cell>
          <cell r="AA45">
            <v>-6136.5870999999997</v>
          </cell>
          <cell r="AB45">
            <v>4100</v>
          </cell>
          <cell r="AD45">
            <v>-196243.36488000001</v>
          </cell>
          <cell r="AE45">
            <v>-94038.298170000009</v>
          </cell>
        </row>
        <row r="46">
          <cell r="C46" t="str">
            <v>Oct</v>
          </cell>
          <cell r="D46">
            <v>48493.281779999998</v>
          </cell>
          <cell r="E46">
            <v>70984.330579999994</v>
          </cell>
          <cell r="F46">
            <v>114169.16753000001</v>
          </cell>
          <cell r="G46">
            <v>63604.113019999997</v>
          </cell>
          <cell r="I46">
            <v>297250.89291</v>
          </cell>
          <cell r="J46">
            <v>2687538.3367499998</v>
          </cell>
          <cell r="O46" t="str">
            <v>Oct</v>
          </cell>
          <cell r="P46">
            <v>172969.08447</v>
          </cell>
          <cell r="Q46">
            <v>45239.316630000001</v>
          </cell>
          <cell r="R46">
            <v>411723.13660000003</v>
          </cell>
          <cell r="S46">
            <v>-393317.60996999999</v>
          </cell>
          <cell r="T46">
            <v>236613.92773</v>
          </cell>
          <cell r="Y46" t="str">
            <v>Oct</v>
          </cell>
          <cell r="Z46">
            <v>-274095.51711999997</v>
          </cell>
          <cell r="AA46">
            <v>236613.92773</v>
          </cell>
          <cell r="AB46">
            <v>54200</v>
          </cell>
          <cell r="AD46">
            <v>16718.410610000021</v>
          </cell>
          <cell r="AE46">
            <v>-77319.887559999988</v>
          </cell>
        </row>
        <row r="47">
          <cell r="C47" t="str">
            <v>Nov</v>
          </cell>
          <cell r="D47">
            <v>47797.082909999997</v>
          </cell>
          <cell r="E47">
            <v>68346.038339999999</v>
          </cell>
          <cell r="F47">
            <v>128588.14045000001</v>
          </cell>
          <cell r="G47">
            <v>38600.24901</v>
          </cell>
          <cell r="I47">
            <v>283331.51071</v>
          </cell>
          <cell r="J47">
            <v>2970869.8474599998</v>
          </cell>
          <cell r="O47" t="str">
            <v>Nov</v>
          </cell>
          <cell r="P47">
            <v>228192.99898999999</v>
          </cell>
          <cell r="Q47">
            <v>74313.191720000003</v>
          </cell>
          <cell r="R47">
            <v>-492267.71341999999</v>
          </cell>
          <cell r="S47">
            <v>396268.53165999998</v>
          </cell>
          <cell r="T47">
            <v>206507.00894999999</v>
          </cell>
          <cell r="Y47" t="str">
            <v>Nov</v>
          </cell>
          <cell r="Z47">
            <v>-174322.05843</v>
          </cell>
          <cell r="AA47">
            <v>206507.00894999999</v>
          </cell>
          <cell r="AB47">
            <v>-94700</v>
          </cell>
          <cell r="AD47">
            <v>-62515.049480000016</v>
          </cell>
          <cell r="AE47">
            <v>-139834.93703999999</v>
          </cell>
        </row>
        <row r="48">
          <cell r="C48" t="str">
            <v>Dic</v>
          </cell>
          <cell r="D48">
            <v>43863.74469</v>
          </cell>
          <cell r="E48">
            <v>66387.114029999997</v>
          </cell>
          <cell r="F48">
            <v>153399.67124</v>
          </cell>
          <cell r="G48">
            <v>29204.404569999999</v>
          </cell>
          <cell r="I48">
            <v>292854.93453000003</v>
          </cell>
          <cell r="J48">
            <v>3263724.78199</v>
          </cell>
          <cell r="O48" t="str">
            <v>Dic</v>
          </cell>
          <cell r="P48">
            <v>467034.03188000002</v>
          </cell>
          <cell r="Q48">
            <v>175005.48923000001</v>
          </cell>
          <cell r="R48">
            <v>97280.945909999995</v>
          </cell>
          <cell r="S48">
            <v>-52859.75389</v>
          </cell>
          <cell r="T48">
            <v>686460.71313000005</v>
          </cell>
          <cell r="Y48" t="str">
            <v>Dic</v>
          </cell>
          <cell r="Z48">
            <v>-332204.55943999998</v>
          </cell>
          <cell r="AA48">
            <v>686460.71313000005</v>
          </cell>
          <cell r="AB48">
            <v>-81108.181400000001</v>
          </cell>
          <cell r="AD48">
            <v>273147.97229000006</v>
          </cell>
          <cell r="AE48">
            <v>133313.03525000007</v>
          </cell>
        </row>
        <row r="49">
          <cell r="B49">
            <v>1995</v>
          </cell>
          <cell r="C49" t="str">
            <v>Ene</v>
          </cell>
          <cell r="D49">
            <v>41711.25877</v>
          </cell>
          <cell r="E49">
            <v>63400.035909999999</v>
          </cell>
          <cell r="F49">
            <v>128962.54674999999</v>
          </cell>
          <cell r="G49">
            <v>24618.388719999999</v>
          </cell>
          <cell r="I49">
            <v>258692.23014999999</v>
          </cell>
          <cell r="J49">
            <v>258692.23014999999</v>
          </cell>
          <cell r="N49">
            <v>1995</v>
          </cell>
          <cell r="O49" t="str">
            <v>Ene</v>
          </cell>
          <cell r="P49">
            <v>143569.62966999999</v>
          </cell>
          <cell r="Q49">
            <v>48357.10555</v>
          </cell>
          <cell r="R49">
            <v>24618.561959999999</v>
          </cell>
          <cell r="S49">
            <v>122751.70388930275</v>
          </cell>
          <cell r="T49">
            <v>339297.00106930273</v>
          </cell>
          <cell r="X49">
            <v>1995</v>
          </cell>
          <cell r="Y49" t="str">
            <v>Ene</v>
          </cell>
          <cell r="Z49">
            <v>-477955.06040999998</v>
          </cell>
          <cell r="AA49">
            <v>339297.00106930273</v>
          </cell>
          <cell r="AB49">
            <v>87100</v>
          </cell>
          <cell r="AD49">
            <v>-51558.059340697248</v>
          </cell>
          <cell r="AE49">
            <v>-51558.059340697248</v>
          </cell>
        </row>
        <row r="50">
          <cell r="C50" t="str">
            <v>Feb</v>
          </cell>
          <cell r="D50">
            <v>38329.761680000003</v>
          </cell>
          <cell r="E50">
            <v>84006.784180000002</v>
          </cell>
          <cell r="F50">
            <v>112723.14274</v>
          </cell>
          <cell r="G50">
            <v>61941.215210000002</v>
          </cell>
          <cell r="I50">
            <v>297000.90380999999</v>
          </cell>
          <cell r="J50">
            <v>555693.13396000001</v>
          </cell>
          <cell r="O50" t="str">
            <v>Feb</v>
          </cell>
          <cell r="P50">
            <v>167235.90609</v>
          </cell>
          <cell r="Q50">
            <v>-33118.975530000003</v>
          </cell>
          <cell r="R50">
            <v>21680.152890000001</v>
          </cell>
          <cell r="S50">
            <v>99878.838681691719</v>
          </cell>
          <cell r="T50">
            <v>255675.92213169171</v>
          </cell>
          <cell r="Y50" t="str">
            <v>Feb</v>
          </cell>
          <cell r="Z50">
            <v>-205466.01811999999</v>
          </cell>
          <cell r="AA50">
            <v>255675.92213169171</v>
          </cell>
          <cell r="AB50">
            <v>81900</v>
          </cell>
          <cell r="AD50">
            <v>132109.90401169172</v>
          </cell>
          <cell r="AE50">
            <v>80551.844670994469</v>
          </cell>
        </row>
        <row r="51">
          <cell r="C51" t="str">
            <v>Mar</v>
          </cell>
          <cell r="D51">
            <v>39958.250529999998</v>
          </cell>
          <cell r="E51">
            <v>84447.491559999995</v>
          </cell>
          <cell r="F51">
            <v>117271.22602</v>
          </cell>
          <cell r="G51">
            <v>102748.03232</v>
          </cell>
          <cell r="I51">
            <v>344425.00043000001</v>
          </cell>
          <cell r="J51">
            <v>900118.13439000002</v>
          </cell>
          <cell r="O51" t="str">
            <v>Mar</v>
          </cell>
          <cell r="P51">
            <v>62144.35007</v>
          </cell>
          <cell r="Q51">
            <v>30581.720700000002</v>
          </cell>
          <cell r="R51">
            <v>99740.515159999995</v>
          </cell>
          <cell r="S51">
            <v>39033.927901390503</v>
          </cell>
          <cell r="T51">
            <v>231500.5138313905</v>
          </cell>
          <cell r="Y51" t="str">
            <v>Mar</v>
          </cell>
          <cell r="Z51">
            <v>-176885.52640999999</v>
          </cell>
          <cell r="AA51">
            <v>231500.5138313905</v>
          </cell>
          <cell r="AB51">
            <v>176000</v>
          </cell>
          <cell r="AD51">
            <v>230614.98742139051</v>
          </cell>
          <cell r="AE51">
            <v>311166.83209238498</v>
          </cell>
        </row>
        <row r="52">
          <cell r="C52" t="str">
            <v>Abr</v>
          </cell>
          <cell r="D52">
            <v>70180.781560000003</v>
          </cell>
          <cell r="E52">
            <v>61651.118499999997</v>
          </cell>
          <cell r="F52">
            <v>80738.672919999997</v>
          </cell>
          <cell r="G52">
            <v>63062.4732</v>
          </cell>
          <cell r="I52">
            <v>275633.04618</v>
          </cell>
          <cell r="J52">
            <v>1175751.1805700001</v>
          </cell>
          <cell r="O52" t="str">
            <v>Abr</v>
          </cell>
          <cell r="P52">
            <v>55584.171750000001</v>
          </cell>
          <cell r="Q52">
            <v>82985.410140000007</v>
          </cell>
          <cell r="R52">
            <v>130551.51465</v>
          </cell>
          <cell r="S52">
            <v>50044.918176803003</v>
          </cell>
          <cell r="T52">
            <v>319166.01471680298</v>
          </cell>
          <cell r="Y52" t="str">
            <v>Abr</v>
          </cell>
          <cell r="Z52">
            <v>-239205.68786999999</v>
          </cell>
          <cell r="AA52">
            <v>319166.01471680298</v>
          </cell>
          <cell r="AB52">
            <v>15600</v>
          </cell>
          <cell r="AD52">
            <v>95560.326846802986</v>
          </cell>
          <cell r="AE52">
            <v>406727.158939188</v>
          </cell>
        </row>
        <row r="53">
          <cell r="C53" t="str">
            <v>May</v>
          </cell>
          <cell r="D53">
            <v>25562.6368</v>
          </cell>
          <cell r="E53">
            <v>58275.838250000001</v>
          </cell>
          <cell r="F53">
            <v>84679.832290000006</v>
          </cell>
          <cell r="G53">
            <v>88134.270560000004</v>
          </cell>
          <cell r="I53">
            <v>256652.5779</v>
          </cell>
          <cell r="J53">
            <v>1432403.75847</v>
          </cell>
          <cell r="O53" t="str">
            <v>May</v>
          </cell>
          <cell r="P53">
            <v>71191.692439999999</v>
          </cell>
          <cell r="Q53">
            <v>51272.074260000001</v>
          </cell>
          <cell r="R53">
            <v>2276.3267799999999</v>
          </cell>
          <cell r="S53">
            <v>81855.649012119626</v>
          </cell>
          <cell r="T53">
            <v>206595.74249211964</v>
          </cell>
          <cell r="Y53" t="str">
            <v>May</v>
          </cell>
          <cell r="Z53">
            <v>-117195.81692</v>
          </cell>
          <cell r="AA53">
            <v>206595.74249211964</v>
          </cell>
          <cell r="AB53">
            <v>20400</v>
          </cell>
          <cell r="AD53">
            <v>109799.92557211964</v>
          </cell>
          <cell r="AE53">
            <v>516527.08451130765</v>
          </cell>
        </row>
        <row r="54">
          <cell r="C54" t="str">
            <v>Jun</v>
          </cell>
          <cell r="D54">
            <v>20500.318159999999</v>
          </cell>
          <cell r="E54">
            <v>83019.513149999999</v>
          </cell>
          <cell r="F54">
            <v>93810.030249999996</v>
          </cell>
          <cell r="G54">
            <v>80447.631810000006</v>
          </cell>
          <cell r="I54">
            <v>277777.49336999998</v>
          </cell>
          <cell r="J54">
            <v>1710181.25184</v>
          </cell>
          <cell r="O54" t="str">
            <v>Jun</v>
          </cell>
          <cell r="P54">
            <v>113051.40820999999</v>
          </cell>
          <cell r="Q54">
            <v>77918.42611</v>
          </cell>
          <cell r="R54">
            <v>8972.4019499999995</v>
          </cell>
          <cell r="S54">
            <v>6495.8332846068433</v>
          </cell>
          <cell r="T54">
            <v>206438.06955460683</v>
          </cell>
          <cell r="Y54" t="str">
            <v>Jun</v>
          </cell>
          <cell r="Z54">
            <v>-156844.81007000001</v>
          </cell>
          <cell r="AA54">
            <v>206438.06955460683</v>
          </cell>
          <cell r="AB54">
            <v>-14300</v>
          </cell>
          <cell r="AD54">
            <v>35293.259484606824</v>
          </cell>
          <cell r="AE54">
            <v>551820.34399591445</v>
          </cell>
        </row>
        <row r="55">
          <cell r="C55" t="str">
            <v>Jul</v>
          </cell>
          <cell r="D55">
            <v>20631.327929999999</v>
          </cell>
          <cell r="E55">
            <v>59973.907809999997</v>
          </cell>
          <cell r="F55">
            <v>107877.99182</v>
          </cell>
          <cell r="G55">
            <v>93638.569520000005</v>
          </cell>
          <cell r="I55">
            <v>282121.79707999999</v>
          </cell>
          <cell r="J55">
            <v>1992303.04892</v>
          </cell>
          <cell r="O55" t="str">
            <v>Jul</v>
          </cell>
          <cell r="P55">
            <v>44918.940820000003</v>
          </cell>
          <cell r="Q55">
            <v>111383.95411000001</v>
          </cell>
          <cell r="R55">
            <v>9987.0619900000002</v>
          </cell>
          <cell r="S55">
            <v>63531.18312419299</v>
          </cell>
          <cell r="T55">
            <v>229821.14004419299</v>
          </cell>
          <cell r="Y55" t="str">
            <v>Jul</v>
          </cell>
          <cell r="Z55">
            <v>-176625.1643</v>
          </cell>
          <cell r="AA55">
            <v>229821.14004419299</v>
          </cell>
          <cell r="AB55">
            <v>-64100</v>
          </cell>
          <cell r="AD55">
            <v>-10904.024255807017</v>
          </cell>
          <cell r="AE55">
            <v>540916.3197401074</v>
          </cell>
        </row>
        <row r="56">
          <cell r="C56" t="str">
            <v>Ago</v>
          </cell>
          <cell r="D56">
            <v>28506.81336</v>
          </cell>
          <cell r="E56">
            <v>63388.673880000002</v>
          </cell>
          <cell r="F56">
            <v>105925.40003</v>
          </cell>
          <cell r="G56">
            <v>73020.323390000005</v>
          </cell>
          <cell r="I56">
            <v>270841.21065999998</v>
          </cell>
          <cell r="J56">
            <v>2263144.2595799998</v>
          </cell>
          <cell r="O56" t="str">
            <v>Ago</v>
          </cell>
          <cell r="P56">
            <v>183535.44448000001</v>
          </cell>
          <cell r="Q56">
            <v>-66648.095719999998</v>
          </cell>
          <cell r="R56">
            <v>-14091.56842</v>
          </cell>
          <cell r="S56">
            <v>-12424.589011947748</v>
          </cell>
          <cell r="T56">
            <v>90371.191328052257</v>
          </cell>
          <cell r="Y56" t="str">
            <v>Ago</v>
          </cell>
          <cell r="Z56">
            <v>-209246.42288999999</v>
          </cell>
          <cell r="AA56">
            <v>90371.191328052257</v>
          </cell>
          <cell r="AB56">
            <v>-143400</v>
          </cell>
          <cell r="AD56">
            <v>-262275.23156194773</v>
          </cell>
          <cell r="AE56">
            <v>278641.08817815967</v>
          </cell>
        </row>
        <row r="57">
          <cell r="C57" t="str">
            <v>Sep</v>
          </cell>
          <cell r="D57">
            <v>83793.364019999994</v>
          </cell>
          <cell r="E57">
            <v>76892.941269999996</v>
          </cell>
          <cell r="F57">
            <v>91811.859670000005</v>
          </cell>
          <cell r="G57">
            <v>47981.389439999999</v>
          </cell>
          <cell r="I57">
            <v>300479.55440000002</v>
          </cell>
          <cell r="J57">
            <v>2563623.8139800001</v>
          </cell>
          <cell r="O57" t="str">
            <v>Sep</v>
          </cell>
          <cell r="P57">
            <v>-18296.775539999999</v>
          </cell>
          <cell r="Q57">
            <v>36850.066509999997</v>
          </cell>
          <cell r="R57">
            <v>48733.607649999998</v>
          </cell>
          <cell r="S57">
            <v>20417.189695171648</v>
          </cell>
          <cell r="T57">
            <v>87704.088315171655</v>
          </cell>
          <cell r="Y57" t="str">
            <v>Sep</v>
          </cell>
          <cell r="Z57">
            <v>-116777.29058</v>
          </cell>
          <cell r="AA57">
            <v>87704.088315171655</v>
          </cell>
          <cell r="AB57">
            <v>72700</v>
          </cell>
          <cell r="AD57">
            <v>43626.797735171654</v>
          </cell>
          <cell r="AE57">
            <v>322267.88591333129</v>
          </cell>
        </row>
        <row r="58">
          <cell r="C58" t="str">
            <v>Oct</v>
          </cell>
          <cell r="D58">
            <v>27231.271949999998</v>
          </cell>
          <cell r="E58">
            <v>53995.978450000002</v>
          </cell>
          <cell r="F58">
            <v>105527.89139999999</v>
          </cell>
          <cell r="G58">
            <v>85835.413010000004</v>
          </cell>
          <cell r="I58">
            <v>272590.55481</v>
          </cell>
          <cell r="J58">
            <v>2836214.3687900002</v>
          </cell>
          <cell r="O58" t="str">
            <v>Oct</v>
          </cell>
          <cell r="P58">
            <v>87438.95074</v>
          </cell>
          <cell r="Q58">
            <v>25395.76252</v>
          </cell>
          <cell r="R58">
            <v>120971.30626</v>
          </cell>
          <cell r="S58">
            <v>-12243.83171350412</v>
          </cell>
          <cell r="T58">
            <v>221562.18780649587</v>
          </cell>
          <cell r="Y58" t="str">
            <v>Oct</v>
          </cell>
          <cell r="Z58">
            <v>-190856.47665999999</v>
          </cell>
          <cell r="AA58">
            <v>221562.18780649587</v>
          </cell>
          <cell r="AB58">
            <v>-3082.10898</v>
          </cell>
          <cell r="AD58">
            <v>27623.602166495886</v>
          </cell>
          <cell r="AE58">
            <v>349891.48807982716</v>
          </cell>
        </row>
        <row r="59">
          <cell r="C59" t="str">
            <v>Nov</v>
          </cell>
          <cell r="D59">
            <v>24002.866699999999</v>
          </cell>
          <cell r="E59">
            <v>46460.505270000001</v>
          </cell>
          <cell r="F59">
            <v>130948.7715</v>
          </cell>
          <cell r="G59">
            <v>96390.929170000003</v>
          </cell>
          <cell r="I59">
            <v>297803.07264000003</v>
          </cell>
          <cell r="J59">
            <v>3134017.4414300001</v>
          </cell>
          <cell r="O59" t="str">
            <v>Nov</v>
          </cell>
          <cell r="P59">
            <v>7998.7105700000002</v>
          </cell>
          <cell r="Q59">
            <v>51429.882189999997</v>
          </cell>
          <cell r="R59">
            <v>62644.161910000003</v>
          </cell>
          <cell r="S59">
            <v>124166.64094829815</v>
          </cell>
          <cell r="T59">
            <v>246239.39561829815</v>
          </cell>
          <cell r="Y59" t="str">
            <v>Nov</v>
          </cell>
          <cell r="Z59">
            <v>-274965.58091000002</v>
          </cell>
          <cell r="AA59">
            <v>246239.39561829815</v>
          </cell>
          <cell r="AB59">
            <v>-44336.783459999999</v>
          </cell>
          <cell r="AD59">
            <v>-73062.968751701876</v>
          </cell>
          <cell r="AE59">
            <v>276828.51932812529</v>
          </cell>
        </row>
        <row r="60">
          <cell r="C60" t="str">
            <v>Dic</v>
          </cell>
          <cell r="D60">
            <v>22633.610830000001</v>
          </cell>
          <cell r="E60">
            <v>51622.96774</v>
          </cell>
          <cell r="F60">
            <v>103558.50347</v>
          </cell>
          <cell r="G60">
            <v>47926.6878</v>
          </cell>
          <cell r="I60">
            <v>225741.76983999999</v>
          </cell>
          <cell r="J60">
            <v>3359759.2112700003</v>
          </cell>
          <cell r="O60" t="str">
            <v>Dic</v>
          </cell>
          <cell r="P60">
            <v>29139.539570000001</v>
          </cell>
          <cell r="Q60">
            <v>56125.644740000003</v>
          </cell>
          <cell r="R60">
            <v>133415.13857000001</v>
          </cell>
          <cell r="S60">
            <v>39267.760271982799</v>
          </cell>
          <cell r="T60">
            <v>257948.08315198281</v>
          </cell>
          <cell r="Y60" t="str">
            <v>Dic</v>
          </cell>
          <cell r="Z60">
            <v>-31222.553620000002</v>
          </cell>
          <cell r="AA60">
            <v>257948.08315198281</v>
          </cell>
          <cell r="AB60">
            <v>-181532.75495999999</v>
          </cell>
          <cell r="AD60">
            <v>45192.774571982824</v>
          </cell>
          <cell r="AE60">
            <v>322021.29390010808</v>
          </cell>
        </row>
        <row r="61">
          <cell r="B61">
            <v>1996</v>
          </cell>
          <cell r="C61" t="str">
            <v>Ene</v>
          </cell>
          <cell r="D61">
            <v>22899.513849999999</v>
          </cell>
          <cell r="E61">
            <v>49575.174469999998</v>
          </cell>
          <cell r="F61">
            <v>112768.81318</v>
          </cell>
          <cell r="G61">
            <v>15695.37383</v>
          </cell>
          <cell r="I61">
            <v>200938.87533000001</v>
          </cell>
          <cell r="J61">
            <v>200938.87533000001</v>
          </cell>
          <cell r="N61">
            <v>1996</v>
          </cell>
          <cell r="O61" t="str">
            <v>Ene</v>
          </cell>
          <cell r="P61">
            <v>-40330.620990000003</v>
          </cell>
          <cell r="Q61">
            <v>50185.876210000002</v>
          </cell>
          <cell r="R61">
            <v>20364.71285</v>
          </cell>
          <cell r="S61">
            <v>71124.668130000005</v>
          </cell>
          <cell r="T61">
            <v>101344.63619999999</v>
          </cell>
          <cell r="X61">
            <v>1996</v>
          </cell>
          <cell r="Y61" t="str">
            <v>Ene</v>
          </cell>
          <cell r="Z61">
            <v>-238568.97372000001</v>
          </cell>
          <cell r="AA61">
            <v>101344.63619999999</v>
          </cell>
          <cell r="AB61">
            <v>-23876.388029999998</v>
          </cell>
          <cell r="AD61">
            <v>-161100.72555</v>
          </cell>
          <cell r="AE61">
            <v>-161100.72555</v>
          </cell>
        </row>
        <row r="62">
          <cell r="C62" t="str">
            <v>Feb</v>
          </cell>
          <cell r="D62">
            <v>27577.540980000002</v>
          </cell>
          <cell r="E62">
            <v>46465.095130000002</v>
          </cell>
          <cell r="F62">
            <v>106113.89786</v>
          </cell>
          <cell r="G62">
            <v>44046.990949999999</v>
          </cell>
          <cell r="I62">
            <v>224203.52492</v>
          </cell>
          <cell r="J62">
            <v>425142.40025000001</v>
          </cell>
          <cell r="O62" t="str">
            <v>Feb</v>
          </cell>
          <cell r="P62">
            <v>-66237.995299999995</v>
          </cell>
          <cell r="Q62">
            <v>86730.358689999994</v>
          </cell>
          <cell r="R62">
            <v>9528.5926799999997</v>
          </cell>
          <cell r="S62">
            <v>163838.44205000001</v>
          </cell>
          <cell r="T62">
            <v>193859.39812</v>
          </cell>
          <cell r="Y62" t="str">
            <v>Feb</v>
          </cell>
          <cell r="Z62">
            <v>-326371.81503</v>
          </cell>
          <cell r="AA62">
            <v>193859.39812</v>
          </cell>
          <cell r="AB62">
            <v>-19906.674760000002</v>
          </cell>
          <cell r="AD62">
            <v>-152419.09166999999</v>
          </cell>
          <cell r="AE62">
            <v>-313519.81721999997</v>
          </cell>
        </row>
        <row r="63">
          <cell r="C63" t="str">
            <v>Mar</v>
          </cell>
          <cell r="D63">
            <v>26353.06409</v>
          </cell>
          <cell r="E63">
            <v>47293.942840000003</v>
          </cell>
          <cell r="F63">
            <v>114764.5958</v>
          </cell>
          <cell r="G63">
            <v>17303.944909999998</v>
          </cell>
          <cell r="I63">
            <v>205715.54764</v>
          </cell>
          <cell r="J63">
            <v>630857.94788999995</v>
          </cell>
          <cell r="O63" t="str">
            <v>Mar</v>
          </cell>
          <cell r="P63">
            <v>-67683.923330000005</v>
          </cell>
          <cell r="Q63">
            <v>130152.84555</v>
          </cell>
          <cell r="R63">
            <v>97762.016950000005</v>
          </cell>
          <cell r="S63">
            <v>96131.26225</v>
          </cell>
          <cell r="T63">
            <v>256362.20142</v>
          </cell>
          <cell r="Y63" t="str">
            <v>Mar</v>
          </cell>
          <cell r="Z63">
            <v>-329557.06891999999</v>
          </cell>
          <cell r="AA63">
            <v>256362.20142</v>
          </cell>
          <cell r="AB63">
            <v>-11691.39759</v>
          </cell>
          <cell r="AD63">
            <v>-84886.265090000001</v>
          </cell>
          <cell r="AE63">
            <v>-398406.08230999997</v>
          </cell>
        </row>
        <row r="64">
          <cell r="C64" t="str">
            <v>Abr</v>
          </cell>
          <cell r="D64">
            <v>23274.633259999999</v>
          </cell>
          <cell r="E64">
            <v>47676.27046</v>
          </cell>
          <cell r="F64">
            <v>107494.97004</v>
          </cell>
          <cell r="G64">
            <v>73504.390750000006</v>
          </cell>
          <cell r="I64">
            <v>251950.26451000001</v>
          </cell>
          <cell r="J64">
            <v>882808.21239999996</v>
          </cell>
          <cell r="O64" t="str">
            <v>Abr</v>
          </cell>
          <cell r="P64">
            <v>80856.792860000001</v>
          </cell>
          <cell r="Q64">
            <v>33964.461759999998</v>
          </cell>
          <cell r="R64">
            <v>70055.915410000001</v>
          </cell>
          <cell r="S64">
            <v>80960.977010000002</v>
          </cell>
          <cell r="T64">
            <v>265838.14704000001</v>
          </cell>
          <cell r="Y64" t="str">
            <v>Abr</v>
          </cell>
          <cell r="Z64">
            <v>-234077.67530999999</v>
          </cell>
          <cell r="AA64">
            <v>265838.14704000001</v>
          </cell>
          <cell r="AB64">
            <v>-56638.006789999999</v>
          </cell>
          <cell r="AD64">
            <v>-24877.53505999998</v>
          </cell>
          <cell r="AE64">
            <v>-423283.61736999993</v>
          </cell>
        </row>
        <row r="65">
          <cell r="C65" t="str">
            <v>May</v>
          </cell>
          <cell r="D65">
            <v>29721.292010000001</v>
          </cell>
          <cell r="E65">
            <v>51156.910259999997</v>
          </cell>
          <cell r="F65">
            <v>181217.02299</v>
          </cell>
          <cell r="G65">
            <v>61871.30932</v>
          </cell>
          <cell r="I65">
            <v>323966.53457999998</v>
          </cell>
          <cell r="J65">
            <v>1206774.7469799998</v>
          </cell>
          <cell r="O65" t="str">
            <v>May</v>
          </cell>
          <cell r="P65">
            <v>25157.610820000002</v>
          </cell>
          <cell r="Q65">
            <v>147287.12737</v>
          </cell>
          <cell r="R65">
            <v>53110.505069999999</v>
          </cell>
          <cell r="S65">
            <v>-24079.155289999999</v>
          </cell>
          <cell r="T65">
            <v>201476.08796999999</v>
          </cell>
          <cell r="Y65" t="str">
            <v>May</v>
          </cell>
          <cell r="Z65">
            <v>-152563.13746999999</v>
          </cell>
          <cell r="AA65">
            <v>201476.08796999999</v>
          </cell>
          <cell r="AB65">
            <v>-26857.717489999999</v>
          </cell>
          <cell r="AD65">
            <v>22055.233010000007</v>
          </cell>
          <cell r="AE65">
            <v>-401228.38435999991</v>
          </cell>
        </row>
        <row r="66">
          <cell r="C66" t="str">
            <v>Jun</v>
          </cell>
          <cell r="D66">
            <v>20992.78369</v>
          </cell>
          <cell r="E66">
            <v>42844.480250000001</v>
          </cell>
          <cell r="F66">
            <v>151970.89472000001</v>
          </cell>
          <cell r="G66">
            <v>30649.272710000001</v>
          </cell>
          <cell r="I66">
            <v>246457.43137000001</v>
          </cell>
          <cell r="J66">
            <v>1453232.1783499997</v>
          </cell>
          <cell r="O66" t="str">
            <v>Jun</v>
          </cell>
          <cell r="P66">
            <v>128186.79743999999</v>
          </cell>
          <cell r="Q66">
            <v>40342.036740000003</v>
          </cell>
          <cell r="R66">
            <v>184275.29897</v>
          </cell>
          <cell r="S66">
            <v>39659.98734</v>
          </cell>
          <cell r="T66">
            <v>392464.12049</v>
          </cell>
          <cell r="Y66" t="str">
            <v>Jun</v>
          </cell>
          <cell r="Z66">
            <v>-389358.69994999998</v>
          </cell>
          <cell r="AA66">
            <v>392464.12049</v>
          </cell>
          <cell r="AB66">
            <v>34871.336790000001</v>
          </cell>
          <cell r="AD66">
            <v>37976.757330000022</v>
          </cell>
          <cell r="AE66">
            <v>-363251.62702999986</v>
          </cell>
        </row>
        <row r="67">
          <cell r="C67" t="str">
            <v>Jul</v>
          </cell>
          <cell r="D67">
            <v>20230.240419999998</v>
          </cell>
          <cell r="E67">
            <v>52596.778200000001</v>
          </cell>
          <cell r="F67">
            <v>182870.67297000001</v>
          </cell>
          <cell r="G67">
            <v>58729.736219999999</v>
          </cell>
          <cell r="I67">
            <v>314427.42781000002</v>
          </cell>
          <cell r="J67">
            <v>1767659.6061599997</v>
          </cell>
          <cell r="O67" t="str">
            <v>Jul</v>
          </cell>
          <cell r="P67">
            <v>129120.34388</v>
          </cell>
          <cell r="Q67">
            <v>59135.37139</v>
          </cell>
          <cell r="R67">
            <v>30047.612580000001</v>
          </cell>
          <cell r="S67">
            <v>168739.38618</v>
          </cell>
          <cell r="T67">
            <v>387042.71402999997</v>
          </cell>
          <cell r="Y67" t="str">
            <v>Jul</v>
          </cell>
          <cell r="Z67">
            <v>-399711.28879000002</v>
          </cell>
          <cell r="AA67">
            <v>387042.71402999997</v>
          </cell>
          <cell r="AB67">
            <v>84779.777170000001</v>
          </cell>
          <cell r="AD67">
            <v>72111.202409999954</v>
          </cell>
          <cell r="AE67">
            <v>-291140.42461999989</v>
          </cell>
        </row>
        <row r="68">
          <cell r="C68" t="str">
            <v>Ago</v>
          </cell>
          <cell r="D68">
            <v>17988.050329999998</v>
          </cell>
          <cell r="E68">
            <v>57976.512349999997</v>
          </cell>
          <cell r="F68">
            <v>164654.95149000001</v>
          </cell>
          <cell r="G68">
            <v>53953.119729999999</v>
          </cell>
          <cell r="I68">
            <v>294572.63390000002</v>
          </cell>
          <cell r="J68">
            <v>2062232.2400599997</v>
          </cell>
          <cell r="O68" t="str">
            <v>Ago</v>
          </cell>
          <cell r="P68">
            <v>61147.39028</v>
          </cell>
          <cell r="Q68">
            <v>477789.85781999998</v>
          </cell>
          <cell r="R68">
            <v>17407.873100000001</v>
          </cell>
          <cell r="S68">
            <v>-106158.224</v>
          </cell>
          <cell r="T68">
            <v>450186.89720000001</v>
          </cell>
          <cell r="Y68" t="str">
            <v>Ago</v>
          </cell>
          <cell r="Z68">
            <v>-411732.33283999999</v>
          </cell>
          <cell r="AA68">
            <v>450186.89720000001</v>
          </cell>
          <cell r="AB68">
            <v>-13588.42944</v>
          </cell>
          <cell r="AD68">
            <v>24866.134920000019</v>
          </cell>
          <cell r="AE68">
            <v>-266274.28969999985</v>
          </cell>
        </row>
        <row r="69">
          <cell r="C69" t="str">
            <v>Sep</v>
          </cell>
          <cell r="D69">
            <v>16514.125049999999</v>
          </cell>
          <cell r="E69">
            <v>47650.746200000001</v>
          </cell>
          <cell r="F69">
            <v>137401.427</v>
          </cell>
          <cell r="G69">
            <v>50573.503129999997</v>
          </cell>
          <cell r="I69">
            <v>252139.80137999999</v>
          </cell>
          <cell r="J69">
            <v>2314372.0414399998</v>
          </cell>
          <cell r="O69" t="str">
            <v>Sep</v>
          </cell>
          <cell r="P69">
            <v>179221.81007000001</v>
          </cell>
          <cell r="Q69">
            <v>43040.20822</v>
          </cell>
          <cell r="R69">
            <v>79654.787960000001</v>
          </cell>
          <cell r="S69">
            <v>176256.75755000001</v>
          </cell>
          <cell r="T69">
            <v>478173.5638</v>
          </cell>
          <cell r="Y69" t="str">
            <v>Sep</v>
          </cell>
          <cell r="Z69">
            <v>-431051.32952000003</v>
          </cell>
          <cell r="AA69">
            <v>478173.5638</v>
          </cell>
          <cell r="AB69">
            <v>-11065.67182</v>
          </cell>
          <cell r="AD69">
            <v>36056.562459999972</v>
          </cell>
          <cell r="AE69">
            <v>-230217.72723999986</v>
          </cell>
        </row>
        <row r="70">
          <cell r="C70" t="str">
            <v>Oct</v>
          </cell>
          <cell r="D70">
            <v>14103.00279</v>
          </cell>
          <cell r="E70">
            <v>53392.264600000002</v>
          </cell>
          <cell r="F70">
            <v>200706.43750999999</v>
          </cell>
          <cell r="G70">
            <v>76114.325219999999</v>
          </cell>
          <cell r="I70">
            <v>344316.03012000001</v>
          </cell>
          <cell r="J70">
            <v>2658688.0715600001</v>
          </cell>
          <cell r="O70" t="str">
            <v>Oct</v>
          </cell>
          <cell r="P70">
            <v>269626.18899</v>
          </cell>
          <cell r="Q70">
            <v>99079.514509999994</v>
          </cell>
          <cell r="R70">
            <v>79723.635150000002</v>
          </cell>
          <cell r="S70">
            <v>112212.53756</v>
          </cell>
          <cell r="T70">
            <v>560641.87621000002</v>
          </cell>
          <cell r="Y70" t="str">
            <v>Oct</v>
          </cell>
          <cell r="Z70">
            <v>-450867.19182000001</v>
          </cell>
          <cell r="AA70">
            <v>560641.87621000002</v>
          </cell>
          <cell r="AB70">
            <v>34731.23947</v>
          </cell>
          <cell r="AD70">
            <v>144505.92386000001</v>
          </cell>
          <cell r="AE70">
            <v>-85711.803379999852</v>
          </cell>
        </row>
        <row r="71">
          <cell r="C71" t="str">
            <v>Nov</v>
          </cell>
          <cell r="D71">
            <v>13891.11865</v>
          </cell>
          <cell r="E71">
            <v>81506.972299999994</v>
          </cell>
          <cell r="F71">
            <v>148665.11379</v>
          </cell>
          <cell r="G71">
            <v>51596.901810000003</v>
          </cell>
          <cell r="I71">
            <v>295660.10655000003</v>
          </cell>
          <cell r="J71">
            <v>2954348.1781100002</v>
          </cell>
          <cell r="O71" t="str">
            <v>Nov</v>
          </cell>
          <cell r="P71">
            <v>194745.59312000001</v>
          </cell>
          <cell r="Q71">
            <v>144232.24082000001</v>
          </cell>
          <cell r="R71">
            <v>737.92822999999999</v>
          </cell>
          <cell r="S71">
            <v>28498.125209999998</v>
          </cell>
          <cell r="T71">
            <v>368213.88737999997</v>
          </cell>
          <cell r="Y71" t="str">
            <v>Nov</v>
          </cell>
          <cell r="Z71">
            <v>-248423.10313999999</v>
          </cell>
          <cell r="AA71">
            <v>368213.88737999997</v>
          </cell>
          <cell r="AB71">
            <v>19423.95176</v>
          </cell>
          <cell r="AD71">
            <v>139214.73599999998</v>
          </cell>
          <cell r="AE71">
            <v>53502.932620000123</v>
          </cell>
        </row>
        <row r="72">
          <cell r="C72" t="str">
            <v>Dic</v>
          </cell>
          <cell r="D72">
            <v>20260.908220000001</v>
          </cell>
          <cell r="E72">
            <v>62434.69786</v>
          </cell>
          <cell r="F72">
            <v>131195.71226</v>
          </cell>
          <cell r="G72">
            <v>51202.323980000001</v>
          </cell>
          <cell r="I72">
            <v>265093.64231999998</v>
          </cell>
          <cell r="J72">
            <v>3219441.8204300003</v>
          </cell>
          <cell r="O72" t="str">
            <v>Dic</v>
          </cell>
          <cell r="P72">
            <v>1101611.38023</v>
          </cell>
          <cell r="Q72">
            <v>341220.60255000001</v>
          </cell>
          <cell r="R72">
            <v>261939.95509</v>
          </cell>
          <cell r="S72">
            <v>210847.80858000001</v>
          </cell>
          <cell r="T72">
            <v>1915619.74645</v>
          </cell>
          <cell r="Y72" t="str">
            <v>Dic</v>
          </cell>
          <cell r="Z72">
            <v>-377179.07351000002</v>
          </cell>
          <cell r="AA72">
            <v>1915619.74645</v>
          </cell>
          <cell r="AB72">
            <v>-19788.449489999999</v>
          </cell>
          <cell r="AD72">
            <v>1518652.2234499999</v>
          </cell>
          <cell r="AE72">
            <v>1572155.15607</v>
          </cell>
        </row>
        <row r="73">
          <cell r="B73" t="str">
            <v>1997 (p)</v>
          </cell>
          <cell r="C73" t="str">
            <v>Ene</v>
          </cell>
          <cell r="D73">
            <v>21458.873970000001</v>
          </cell>
          <cell r="E73">
            <v>53235.418460000001</v>
          </cell>
          <cell r="F73">
            <v>179265.639</v>
          </cell>
          <cell r="G73">
            <v>26111.2084</v>
          </cell>
          <cell r="I73">
            <v>280071.13983</v>
          </cell>
          <cell r="J73">
            <v>280071.13983</v>
          </cell>
          <cell r="N73" t="str">
            <v>1997 (p)</v>
          </cell>
          <cell r="O73" t="str">
            <v>Ene</v>
          </cell>
          <cell r="P73">
            <v>192010.09516</v>
          </cell>
          <cell r="Q73">
            <v>49727.278480000001</v>
          </cell>
          <cell r="R73">
            <v>-2176.2264599999999</v>
          </cell>
          <cell r="S73">
            <v>159832.60722999999</v>
          </cell>
          <cell r="T73">
            <v>399393.75440999999</v>
          </cell>
          <cell r="X73" t="str">
            <v>1997 (p)</v>
          </cell>
          <cell r="Y73" t="str">
            <v>Ene</v>
          </cell>
          <cell r="Z73">
            <v>-374670.18338</v>
          </cell>
          <cell r="AA73">
            <v>399393.75440999999</v>
          </cell>
          <cell r="AB73">
            <v>-86604.702720000001</v>
          </cell>
          <cell r="AD73">
            <v>-61881.131690000009</v>
          </cell>
          <cell r="AE73">
            <v>-61881.131690000009</v>
          </cell>
        </row>
        <row r="74">
          <cell r="C74" t="str">
            <v>Feb</v>
          </cell>
          <cell r="D74">
            <v>28531.56163</v>
          </cell>
          <cell r="E74">
            <v>53430.161339999999</v>
          </cell>
          <cell r="F74">
            <v>167711.70702999999</v>
          </cell>
          <cell r="G74">
            <v>57735.138980000003</v>
          </cell>
          <cell r="I74">
            <v>307408.56897999998</v>
          </cell>
          <cell r="J74">
            <v>587479.70880999998</v>
          </cell>
          <cell r="O74" t="str">
            <v>Feb</v>
          </cell>
          <cell r="P74">
            <v>72508.045559999999</v>
          </cell>
          <cell r="Q74">
            <v>149482.68074000001</v>
          </cell>
          <cell r="R74">
            <v>60671.078630000004</v>
          </cell>
          <cell r="S74">
            <v>214184.70962000001</v>
          </cell>
          <cell r="T74">
            <v>496846.51455000002</v>
          </cell>
          <cell r="Y74" t="str">
            <v>Feb</v>
          </cell>
          <cell r="Z74">
            <v>-495470.9032</v>
          </cell>
          <cell r="AA74">
            <v>496846.51455000002</v>
          </cell>
          <cell r="AB74">
            <v>-19787.58783</v>
          </cell>
          <cell r="AD74">
            <v>-18411.976479999979</v>
          </cell>
          <cell r="AE74">
            <v>-80293.108169999992</v>
          </cell>
        </row>
        <row r="75">
          <cell r="C75" t="str">
            <v>Mar</v>
          </cell>
          <cell r="D75">
            <v>26395.88781</v>
          </cell>
          <cell r="E75">
            <v>48933.485950000002</v>
          </cell>
          <cell r="F75">
            <v>169274.33472000001</v>
          </cell>
          <cell r="G75">
            <v>41656.971460000001</v>
          </cell>
          <cell r="I75">
            <v>286260.67994</v>
          </cell>
          <cell r="J75">
            <v>873740.38874999993</v>
          </cell>
          <cell r="O75" t="str">
            <v>Mar</v>
          </cell>
          <cell r="P75">
            <v>145518.20142999999</v>
          </cell>
          <cell r="Q75">
            <v>115282.03014</v>
          </cell>
          <cell r="R75">
            <v>42076.733619999999</v>
          </cell>
          <cell r="S75">
            <v>205573.82957999999</v>
          </cell>
          <cell r="T75">
            <v>508450.79476999998</v>
          </cell>
          <cell r="Y75" t="str">
            <v>Mar</v>
          </cell>
          <cell r="Z75">
            <v>-380883.24284999998</v>
          </cell>
          <cell r="AA75">
            <v>508450.79476999998</v>
          </cell>
          <cell r="AB75">
            <v>-4147.7064600000003</v>
          </cell>
          <cell r="AD75">
            <v>123419.84546</v>
          </cell>
          <cell r="AE75">
            <v>43126.737290000005</v>
          </cell>
        </row>
        <row r="76">
          <cell r="C76" t="str">
            <v>Abr</v>
          </cell>
          <cell r="D76">
            <v>23844.492450000002</v>
          </cell>
          <cell r="E76">
            <v>56425.952250000002</v>
          </cell>
          <cell r="F76">
            <v>211381.38768000001</v>
          </cell>
          <cell r="G76">
            <v>51215.742109999999</v>
          </cell>
          <cell r="I76">
            <v>342867.57449000003</v>
          </cell>
          <cell r="J76">
            <v>1216607.96324</v>
          </cell>
          <cell r="O76" t="str">
            <v>Abr</v>
          </cell>
          <cell r="P76">
            <v>215006.34015999999</v>
          </cell>
          <cell r="Q76">
            <v>130947.99625</v>
          </cell>
          <cell r="R76">
            <v>45714.39329</v>
          </cell>
          <cell r="S76">
            <v>99256.357879999996</v>
          </cell>
          <cell r="T76">
            <v>490925.08757999999</v>
          </cell>
          <cell r="Y76" t="str">
            <v>Abr</v>
          </cell>
          <cell r="Z76">
            <v>-422551.31335000001</v>
          </cell>
          <cell r="AA76">
            <v>490925.08757999999</v>
          </cell>
          <cell r="AB76">
            <v>-12613.658020000001</v>
          </cell>
          <cell r="AD76">
            <v>55760.116209999978</v>
          </cell>
          <cell r="AE76">
            <v>98886.853499999983</v>
          </cell>
        </row>
        <row r="77">
          <cell r="C77" t="str">
            <v>May</v>
          </cell>
          <cell r="D77">
            <v>23464.624019999999</v>
          </cell>
          <cell r="E77">
            <v>44465.201229999999</v>
          </cell>
          <cell r="F77">
            <v>164210.54204999999</v>
          </cell>
          <cell r="G77">
            <v>64158.514560000003</v>
          </cell>
          <cell r="I77">
            <v>296298.88186000002</v>
          </cell>
          <cell r="J77">
            <v>1512906.8451</v>
          </cell>
          <cell r="O77" t="str">
            <v>May</v>
          </cell>
          <cell r="P77">
            <v>239184.55519000001</v>
          </cell>
          <cell r="Q77">
            <v>117239.6121</v>
          </cell>
          <cell r="R77">
            <v>-4989.0539600000002</v>
          </cell>
          <cell r="S77">
            <v>-22556.11968</v>
          </cell>
          <cell r="T77">
            <v>328878.99365000002</v>
          </cell>
          <cell r="Y77" t="str">
            <v>May</v>
          </cell>
          <cell r="Z77">
            <v>-207528.13717</v>
          </cell>
          <cell r="AA77">
            <v>328878.99365000002</v>
          </cell>
          <cell r="AB77">
            <v>103234.88262</v>
          </cell>
          <cell r="AD77">
            <v>224585.73910000001</v>
          </cell>
          <cell r="AE77">
            <v>323472.59259999997</v>
          </cell>
        </row>
        <row r="78">
          <cell r="C78" t="str">
            <v>Jun</v>
          </cell>
          <cell r="D78">
            <v>18666.104780000001</v>
          </cell>
          <cell r="E78">
            <v>42922.177459999999</v>
          </cell>
          <cell r="F78">
            <v>133770.70005000001</v>
          </cell>
          <cell r="G78">
            <v>89551.005399999995</v>
          </cell>
          <cell r="I78">
            <v>284909.98768999998</v>
          </cell>
          <cell r="J78">
            <v>1797816.8327899999</v>
          </cell>
          <cell r="O78" t="str">
            <v>Jun</v>
          </cell>
          <cell r="P78">
            <v>127401.26209</v>
          </cell>
          <cell r="Q78">
            <v>37219.075729999997</v>
          </cell>
          <cell r="R78">
            <v>98502.926000000007</v>
          </cell>
          <cell r="S78">
            <v>72729.2889</v>
          </cell>
          <cell r="T78">
            <v>335852.55271999998</v>
          </cell>
          <cell r="Y78" t="str">
            <v>Jun</v>
          </cell>
          <cell r="Z78">
            <v>-268503.92920999997</v>
          </cell>
          <cell r="AA78">
            <v>335852.55271999998</v>
          </cell>
          <cell r="AB78">
            <v>-16290.00525</v>
          </cell>
          <cell r="AD78">
            <v>51058.618260000003</v>
          </cell>
          <cell r="AE78">
            <v>374531.21085999999</v>
          </cell>
        </row>
        <row r="79">
          <cell r="C79" t="str">
            <v>Jul</v>
          </cell>
          <cell r="D79">
            <v>16509.88292</v>
          </cell>
          <cell r="E79">
            <v>51599.196389999997</v>
          </cell>
          <cell r="F79">
            <v>149496.96163999999</v>
          </cell>
          <cell r="G79">
            <v>73204.575679999994</v>
          </cell>
          <cell r="I79">
            <v>290810.61663</v>
          </cell>
          <cell r="J79">
            <v>2088627.44942</v>
          </cell>
          <cell r="O79" t="str">
            <v>Jul</v>
          </cell>
          <cell r="P79">
            <v>110466.79066</v>
          </cell>
          <cell r="Q79">
            <v>253845.3498</v>
          </cell>
          <cell r="R79">
            <v>51225.493450000002</v>
          </cell>
          <cell r="S79">
            <v>-94256.468999999997</v>
          </cell>
          <cell r="T79">
            <v>321281.16490999999</v>
          </cell>
          <cell r="Y79" t="str">
            <v>Jul</v>
          </cell>
          <cell r="Z79">
            <v>-264067.52395</v>
          </cell>
          <cell r="AA79">
            <v>321281.16490999999</v>
          </cell>
          <cell r="AB79">
            <v>-48781.607880000003</v>
          </cell>
          <cell r="AD79">
            <v>8432.0330799999865</v>
          </cell>
          <cell r="AE79">
            <v>382963.24393999996</v>
          </cell>
        </row>
        <row r="80">
          <cell r="C80" t="str">
            <v>Ago</v>
          </cell>
          <cell r="D80">
            <v>12483.22834</v>
          </cell>
          <cell r="E80">
            <v>39491.414960000002</v>
          </cell>
          <cell r="F80">
            <v>143572.23147</v>
          </cell>
          <cell r="G80">
            <v>81572.851240000004</v>
          </cell>
          <cell r="I80">
            <v>277119.72600999998</v>
          </cell>
          <cell r="J80">
            <v>2365747.1754299998</v>
          </cell>
          <cell r="O80" t="str">
            <v>Ago</v>
          </cell>
          <cell r="P80">
            <v>37726.592109999998</v>
          </cell>
          <cell r="Q80">
            <v>72316.851479999998</v>
          </cell>
          <cell r="R80">
            <v>79015.404259999996</v>
          </cell>
          <cell r="S80">
            <v>152112.35292</v>
          </cell>
          <cell r="T80">
            <v>341171.20077</v>
          </cell>
          <cell r="Y80" t="str">
            <v>Ago</v>
          </cell>
          <cell r="Z80">
            <v>-360503.07724999997</v>
          </cell>
          <cell r="AA80">
            <v>341171.20077</v>
          </cell>
          <cell r="AB80">
            <v>20697.60111</v>
          </cell>
          <cell r="AD80">
            <v>1365.7246300000224</v>
          </cell>
          <cell r="AE80">
            <v>384328.96856999997</v>
          </cell>
        </row>
        <row r="81">
          <cell r="C81" t="str">
            <v>Sep</v>
          </cell>
          <cell r="D81">
            <v>16334.681200000001</v>
          </cell>
          <cell r="E81">
            <v>52744.689079999996</v>
          </cell>
          <cell r="F81">
            <v>157138.80377999999</v>
          </cell>
          <cell r="G81">
            <v>68840.195129999993</v>
          </cell>
          <cell r="I81">
            <v>295058.36919</v>
          </cell>
          <cell r="J81">
            <v>2660805.5446199998</v>
          </cell>
          <cell r="O81" t="str">
            <v>Sep</v>
          </cell>
          <cell r="P81">
            <v>-95000.641229999994</v>
          </cell>
          <cell r="Q81">
            <v>222371.19696</v>
          </cell>
          <cell r="R81">
            <v>43911.842420000001</v>
          </cell>
          <cell r="S81">
            <v>91968.901190000004</v>
          </cell>
          <cell r="T81">
            <v>263251.29934000003</v>
          </cell>
          <cell r="Y81" t="str">
            <v>Sep</v>
          </cell>
          <cell r="Z81">
            <v>-390693.57530999999</v>
          </cell>
          <cell r="AA81">
            <v>263251.29934000003</v>
          </cell>
          <cell r="AB81">
            <v>75243.923989999996</v>
          </cell>
          <cell r="AD81">
            <v>-52198.351979999963</v>
          </cell>
          <cell r="AE81">
            <v>332130.61658999999</v>
          </cell>
        </row>
        <row r="82">
          <cell r="C82" t="str">
            <v>Oct</v>
          </cell>
          <cell r="D82">
            <v>11612.36325</v>
          </cell>
          <cell r="E82">
            <v>51320.680919999999</v>
          </cell>
          <cell r="F82">
            <v>163909.54290999999</v>
          </cell>
          <cell r="G82">
            <v>135955.71891</v>
          </cell>
          <cell r="I82">
            <v>362798.30599000002</v>
          </cell>
          <cell r="J82">
            <v>3023603.8506100001</v>
          </cell>
          <cell r="O82" t="str">
            <v>Oct</v>
          </cell>
          <cell r="P82">
            <v>24700.78744</v>
          </cell>
          <cell r="Q82">
            <v>139115.98645999999</v>
          </cell>
          <cell r="R82">
            <v>29956.165359999999</v>
          </cell>
          <cell r="S82">
            <v>119041.85800000001</v>
          </cell>
          <cell r="T82">
            <v>312814.79726000002</v>
          </cell>
          <cell r="Y82" t="str">
            <v>Oct</v>
          </cell>
          <cell r="Z82">
            <v>-468380.16363000002</v>
          </cell>
          <cell r="AA82">
            <v>312814.79726000002</v>
          </cell>
          <cell r="AB82">
            <v>84511.02966</v>
          </cell>
          <cell r="AD82">
            <v>-71054.336710000003</v>
          </cell>
          <cell r="AE82">
            <v>261076.27987999999</v>
          </cell>
        </row>
        <row r="83">
          <cell r="C83" t="str">
            <v>Nov</v>
          </cell>
          <cell r="D83">
            <v>8897.1105499999994</v>
          </cell>
          <cell r="E83">
            <v>64508.007290000001</v>
          </cell>
          <cell r="F83">
            <v>128513.30305</v>
          </cell>
          <cell r="G83">
            <v>77227.288709999993</v>
          </cell>
          <cell r="I83">
            <v>279145.7096</v>
          </cell>
          <cell r="J83">
            <v>3302749.5602100003</v>
          </cell>
          <cell r="O83" t="str">
            <v>Nov</v>
          </cell>
          <cell r="P83">
            <v>254261.07813000001</v>
          </cell>
          <cell r="Q83">
            <v>80707.009720000002</v>
          </cell>
          <cell r="R83">
            <v>14870.71225</v>
          </cell>
          <cell r="S83">
            <v>-56106.877130000001</v>
          </cell>
          <cell r="T83">
            <v>293731.92297000001</v>
          </cell>
          <cell r="Y83" t="str">
            <v>Nov</v>
          </cell>
          <cell r="Z83">
            <v>-372885.19235000003</v>
          </cell>
          <cell r="AA83">
            <v>293731.92297000001</v>
          </cell>
          <cell r="AB83">
            <v>-92655.165349999996</v>
          </cell>
          <cell r="AD83">
            <v>-171808.43473000001</v>
          </cell>
          <cell r="AE83">
            <v>89267.845149999979</v>
          </cell>
        </row>
        <row r="84">
          <cell r="C84" t="str">
            <v>Dic*</v>
          </cell>
          <cell r="D84">
            <v>10132.466899999999</v>
          </cell>
          <cell r="E84">
            <v>46590.802000000003</v>
          </cell>
          <cell r="F84">
            <v>171270.48352000001</v>
          </cell>
          <cell r="G84">
            <v>81626.550369999997</v>
          </cell>
          <cell r="I84">
            <v>309620.30278999999</v>
          </cell>
          <cell r="J84">
            <v>3612369.8630000004</v>
          </cell>
          <cell r="O84" t="str">
            <v>Dic*</v>
          </cell>
          <cell r="P84">
            <v>325608.04703000002</v>
          </cell>
          <cell r="Q84">
            <v>104433.15297</v>
          </cell>
          <cell r="R84">
            <v>-145634.39257</v>
          </cell>
          <cell r="S84">
            <v>339664.25956999999</v>
          </cell>
          <cell r="T84">
            <v>624071.06700000004</v>
          </cell>
          <cell r="Y84" t="str">
            <v>Dic*</v>
          </cell>
          <cell r="Z84">
            <v>-704786.19742999994</v>
          </cell>
          <cell r="AA84">
            <v>624071.06700000004</v>
          </cell>
          <cell r="AB84">
            <v>-23843.962</v>
          </cell>
          <cell r="AD84">
            <v>-104559.0924299999</v>
          </cell>
          <cell r="AE84">
            <v>-15291.247279999923</v>
          </cell>
        </row>
        <row r="85">
          <cell r="B85" t="str">
            <v>1998 (p)</v>
          </cell>
          <cell r="C85" t="str">
            <v>Ene</v>
          </cell>
          <cell r="D85">
            <v>10350.36</v>
          </cell>
          <cell r="E85">
            <v>38654.15</v>
          </cell>
          <cell r="F85">
            <v>141359.57999999999</v>
          </cell>
          <cell r="G85">
            <v>64620.83</v>
          </cell>
          <cell r="I85">
            <v>254984.93</v>
          </cell>
          <cell r="J85">
            <v>254984.93</v>
          </cell>
          <cell r="N85" t="str">
            <v>1998 (p)</v>
          </cell>
          <cell r="O85" t="str">
            <v>Ene</v>
          </cell>
          <cell r="P85">
            <v>-31332.01</v>
          </cell>
          <cell r="Q85">
            <v>99502.02</v>
          </cell>
          <cell r="R85">
            <v>20191.490000000002</v>
          </cell>
          <cell r="S85">
            <v>74486.600000000006</v>
          </cell>
          <cell r="T85">
            <v>162848.10999999999</v>
          </cell>
          <cell r="X85" t="str">
            <v>1998 (p)</v>
          </cell>
          <cell r="Y85" t="str">
            <v>Ene</v>
          </cell>
          <cell r="Z85">
            <v>-348426.18</v>
          </cell>
          <cell r="AA85">
            <v>162848.10999999999</v>
          </cell>
          <cell r="AB85">
            <v>51421.14</v>
          </cell>
          <cell r="AD85">
            <v>-134156.93</v>
          </cell>
          <cell r="AE85">
            <v>-134156.93</v>
          </cell>
        </row>
        <row r="86">
          <cell r="C86" t="str">
            <v>Feb</v>
          </cell>
          <cell r="D86">
            <v>10893.68</v>
          </cell>
          <cell r="E86">
            <v>38069.46</v>
          </cell>
          <cell r="F86">
            <v>175743.2</v>
          </cell>
          <cell r="G86">
            <v>84835.18</v>
          </cell>
          <cell r="I86">
            <v>309541.51</v>
          </cell>
          <cell r="J86">
            <v>564526.43999999994</v>
          </cell>
          <cell r="O86" t="str">
            <v>Feb</v>
          </cell>
          <cell r="P86">
            <v>-156472.51</v>
          </cell>
          <cell r="Q86">
            <v>-23378.959999999999</v>
          </cell>
          <cell r="R86">
            <v>75058.59</v>
          </cell>
          <cell r="S86">
            <v>228413.5</v>
          </cell>
          <cell r="T86">
            <v>123620.62</v>
          </cell>
          <cell r="Y86" t="str">
            <v>Feb</v>
          </cell>
          <cell r="Z86">
            <v>-502325.52</v>
          </cell>
          <cell r="AA86">
            <v>123620.62</v>
          </cell>
          <cell r="AB86">
            <v>-4553.8900000000003</v>
          </cell>
          <cell r="AD86">
            <v>-383258.79000000004</v>
          </cell>
          <cell r="AE86">
            <v>-517415.72000000003</v>
          </cell>
        </row>
        <row r="87">
          <cell r="C87" t="str">
            <v>Mar</v>
          </cell>
          <cell r="D87">
            <v>13134.91</v>
          </cell>
          <cell r="E87">
            <v>40891.97</v>
          </cell>
          <cell r="F87">
            <v>198210.64</v>
          </cell>
          <cell r="G87">
            <v>53448.95</v>
          </cell>
          <cell r="I87">
            <v>305686.46999999997</v>
          </cell>
          <cell r="J87">
            <v>870212.90999999992</v>
          </cell>
          <cell r="O87" t="str">
            <v>Mar</v>
          </cell>
          <cell r="P87">
            <v>-53401.21</v>
          </cell>
          <cell r="Q87">
            <v>306741.19</v>
          </cell>
          <cell r="R87">
            <v>112396.05</v>
          </cell>
          <cell r="S87">
            <v>30810.97</v>
          </cell>
          <cell r="T87">
            <v>396546.99</v>
          </cell>
          <cell r="Y87" t="str">
            <v>Mar</v>
          </cell>
          <cell r="Z87">
            <v>-364162.52</v>
          </cell>
          <cell r="AA87">
            <v>396546.99</v>
          </cell>
          <cell r="AB87">
            <v>-47351.27</v>
          </cell>
          <cell r="AD87">
            <v>-14966.800000000025</v>
          </cell>
          <cell r="AE87">
            <v>-532382.52</v>
          </cell>
        </row>
        <row r="88">
          <cell r="C88" t="str">
            <v>Abr</v>
          </cell>
          <cell r="D88">
            <v>11312.82</v>
          </cell>
          <cell r="E88">
            <v>20504.63</v>
          </cell>
          <cell r="F88">
            <v>132084.14000000001</v>
          </cell>
          <cell r="G88">
            <v>58506.01</v>
          </cell>
          <cell r="I88">
            <v>222407.6</v>
          </cell>
          <cell r="J88">
            <v>1092620.51</v>
          </cell>
          <cell r="O88" t="str">
            <v>Abr</v>
          </cell>
          <cell r="P88">
            <v>139867.62</v>
          </cell>
          <cell r="Q88">
            <v>1862.3</v>
          </cell>
          <cell r="R88">
            <v>-82200.7</v>
          </cell>
          <cell r="S88">
            <v>360769.95</v>
          </cell>
          <cell r="T88">
            <v>420299.17</v>
          </cell>
          <cell r="Y88" t="str">
            <v>Abr</v>
          </cell>
          <cell r="Z88">
            <v>-437407.52</v>
          </cell>
          <cell r="AA88">
            <v>420299.17</v>
          </cell>
          <cell r="AB88">
            <v>46255.37</v>
          </cell>
          <cell r="AD88">
            <v>29147.019999999968</v>
          </cell>
          <cell r="AE88">
            <v>-503235.50000000006</v>
          </cell>
        </row>
        <row r="89">
          <cell r="C89" t="str">
            <v>May</v>
          </cell>
          <cell r="D89">
            <v>11299.3</v>
          </cell>
          <cell r="E89">
            <v>42845.34</v>
          </cell>
          <cell r="F89">
            <v>146338.59</v>
          </cell>
          <cell r="G89">
            <v>64830.01</v>
          </cell>
          <cell r="I89">
            <v>265313.24</v>
          </cell>
          <cell r="J89">
            <v>1357933.75</v>
          </cell>
          <cell r="O89" t="str">
            <v>May</v>
          </cell>
          <cell r="P89">
            <v>-79317.759999999995</v>
          </cell>
          <cell r="Q89">
            <v>116938.7</v>
          </cell>
          <cell r="R89">
            <v>1452.76</v>
          </cell>
          <cell r="S89">
            <v>56047.37</v>
          </cell>
          <cell r="T89">
            <v>95121.07</v>
          </cell>
          <cell r="Y89" t="str">
            <v>May</v>
          </cell>
          <cell r="Z89">
            <v>-306738.15999999997</v>
          </cell>
          <cell r="AA89">
            <v>95121.07</v>
          </cell>
          <cell r="AB89">
            <v>-9538.5</v>
          </cell>
          <cell r="AD89">
            <v>-221155.58999999997</v>
          </cell>
          <cell r="AE89">
            <v>-724391.09000000008</v>
          </cell>
        </row>
        <row r="90">
          <cell r="C90" t="str">
            <v>Jun</v>
          </cell>
          <cell r="D90">
            <v>8542.1299999999992</v>
          </cell>
          <cell r="E90">
            <v>39315.74</v>
          </cell>
          <cell r="F90">
            <v>216487.16</v>
          </cell>
          <cell r="G90">
            <v>73331.039999999994</v>
          </cell>
          <cell r="I90">
            <v>337676.07</v>
          </cell>
          <cell r="J90">
            <v>1695609.82</v>
          </cell>
          <cell r="O90" t="str">
            <v>Jun</v>
          </cell>
          <cell r="P90">
            <v>245343.97</v>
          </cell>
          <cell r="Q90">
            <v>45753.22</v>
          </cell>
          <cell r="R90">
            <v>99029.96</v>
          </cell>
          <cell r="S90">
            <v>-236034.1</v>
          </cell>
          <cell r="T90">
            <v>154093.04999999999</v>
          </cell>
          <cell r="Y90" t="str">
            <v>Jun</v>
          </cell>
          <cell r="Z90">
            <v>-264890.26</v>
          </cell>
          <cell r="AA90">
            <v>154093.04999999999</v>
          </cell>
          <cell r="AB90">
            <v>-11642.94</v>
          </cell>
          <cell r="AD90">
            <v>-122440.15000000002</v>
          </cell>
          <cell r="AE90">
            <v>-846831.24000000011</v>
          </cell>
        </row>
        <row r="91">
          <cell r="C91" t="str">
            <v>Jul</v>
          </cell>
          <cell r="D91">
            <v>13305.43</v>
          </cell>
          <cell r="E91">
            <v>44901.56</v>
          </cell>
          <cell r="F91">
            <v>173022.91</v>
          </cell>
          <cell r="G91">
            <v>73759.42</v>
          </cell>
          <cell r="I91">
            <v>304989.31</v>
          </cell>
          <cell r="J91">
            <v>2000599.1300000001</v>
          </cell>
          <cell r="O91" t="str">
            <v>Jul</v>
          </cell>
          <cell r="P91">
            <v>104147.92</v>
          </cell>
          <cell r="Q91">
            <v>67419.34</v>
          </cell>
          <cell r="R91">
            <v>22597.29</v>
          </cell>
          <cell r="S91">
            <v>205193.55</v>
          </cell>
          <cell r="T91">
            <v>399358.1</v>
          </cell>
          <cell r="Y91" t="str">
            <v>Jul</v>
          </cell>
          <cell r="Z91">
            <v>-358849.07</v>
          </cell>
          <cell r="AA91">
            <v>399358.1</v>
          </cell>
          <cell r="AB91">
            <v>-20763.150000000001</v>
          </cell>
          <cell r="AD91">
            <v>19745.879999999968</v>
          </cell>
          <cell r="AE91">
            <v>-827085.3600000001</v>
          </cell>
        </row>
        <row r="92">
          <cell r="C92" t="str">
            <v>Ago</v>
          </cell>
          <cell r="D92">
            <v>14915.26</v>
          </cell>
          <cell r="E92">
            <v>37989.919999999998</v>
          </cell>
          <cell r="F92">
            <v>165859.29</v>
          </cell>
          <cell r="G92">
            <v>61032.17</v>
          </cell>
          <cell r="I92">
            <v>279796.64</v>
          </cell>
          <cell r="J92">
            <v>2280395.77</v>
          </cell>
          <cell r="O92" t="str">
            <v>Ago</v>
          </cell>
          <cell r="P92">
            <v>22458.76</v>
          </cell>
          <cell r="Q92">
            <v>123808.86</v>
          </cell>
          <cell r="R92">
            <v>94869.87</v>
          </cell>
          <cell r="S92">
            <v>19392.7</v>
          </cell>
          <cell r="T92">
            <v>260530.19</v>
          </cell>
          <cell r="Y92" t="str">
            <v>Ago</v>
          </cell>
          <cell r="Z92">
            <v>-485730.44</v>
          </cell>
          <cell r="AA92">
            <v>260530.19</v>
          </cell>
          <cell r="AB92">
            <v>80609.039999999994</v>
          </cell>
          <cell r="AD92">
            <v>-144591.21000000002</v>
          </cell>
          <cell r="AE92">
            <v>-971676.57000000007</v>
          </cell>
        </row>
        <row r="93">
          <cell r="C93" t="str">
            <v>Sep</v>
          </cell>
          <cell r="D93">
            <v>16112.31</v>
          </cell>
          <cell r="E93">
            <v>41540.68</v>
          </cell>
          <cell r="F93">
            <v>158923.64000000001</v>
          </cell>
          <cell r="G93">
            <v>87479.14</v>
          </cell>
          <cell r="I93">
            <v>304055.77</v>
          </cell>
          <cell r="J93">
            <v>2584451.54</v>
          </cell>
          <cell r="O93" t="str">
            <v>Sep</v>
          </cell>
          <cell r="P93">
            <v>38638.35</v>
          </cell>
          <cell r="Q93">
            <v>-28011.25</v>
          </cell>
          <cell r="R93">
            <v>105483.87</v>
          </cell>
          <cell r="S93">
            <v>116893.55</v>
          </cell>
          <cell r="T93">
            <v>233004.53</v>
          </cell>
          <cell r="Y93" t="str">
            <v>Sep</v>
          </cell>
          <cell r="Z93">
            <v>-544634.78</v>
          </cell>
          <cell r="AA93">
            <v>233004.53</v>
          </cell>
          <cell r="AB93">
            <v>130316.84</v>
          </cell>
          <cell r="AD93">
            <v>-181313.41</v>
          </cell>
          <cell r="AE93">
            <v>-1152989.98</v>
          </cell>
        </row>
        <row r="94">
          <cell r="C94" t="str">
            <v>Oct</v>
          </cell>
          <cell r="D94">
            <v>18547.2</v>
          </cell>
          <cell r="E94">
            <v>47377.14</v>
          </cell>
          <cell r="F94">
            <v>219066.48</v>
          </cell>
          <cell r="G94">
            <v>154365.04999999999</v>
          </cell>
          <cell r="I94">
            <v>439355.88</v>
          </cell>
          <cell r="J94">
            <v>3023807.42</v>
          </cell>
          <cell r="O94" t="str">
            <v>Oct</v>
          </cell>
          <cell r="P94">
            <v>-79962.52</v>
          </cell>
          <cell r="Q94">
            <v>281071.24</v>
          </cell>
          <cell r="R94">
            <v>37354.61</v>
          </cell>
          <cell r="S94">
            <v>-27857.3</v>
          </cell>
          <cell r="T94">
            <v>210606.02</v>
          </cell>
          <cell r="Y94" t="str">
            <v>Oct</v>
          </cell>
          <cell r="Z94">
            <v>-264364.52</v>
          </cell>
          <cell r="AA94">
            <v>210606.02</v>
          </cell>
          <cell r="AB94">
            <v>27411.05</v>
          </cell>
          <cell r="AD94">
            <v>-26347.45000000003</v>
          </cell>
          <cell r="AE94">
            <v>-1179337.43</v>
          </cell>
        </row>
        <row r="95">
          <cell r="C95" t="str">
            <v>Nov</v>
          </cell>
          <cell r="D95">
            <v>24314.69</v>
          </cell>
          <cell r="E95">
            <v>44269.94</v>
          </cell>
          <cell r="F95">
            <v>184052.61</v>
          </cell>
          <cell r="G95">
            <v>97184.81</v>
          </cell>
          <cell r="I95">
            <v>349822.05</v>
          </cell>
          <cell r="J95">
            <v>3373629.4699999997</v>
          </cell>
          <cell r="O95" t="str">
            <v>Nov</v>
          </cell>
          <cell r="P95">
            <v>97681.36</v>
          </cell>
          <cell r="Q95">
            <v>68340.259999999995</v>
          </cell>
          <cell r="R95">
            <v>14484.96</v>
          </cell>
          <cell r="S95">
            <v>40799.53</v>
          </cell>
          <cell r="T95">
            <v>221306.12</v>
          </cell>
          <cell r="Y95" t="str">
            <v>Nov</v>
          </cell>
          <cell r="Z95">
            <v>-126822.47</v>
          </cell>
          <cell r="AA95">
            <v>221306.12</v>
          </cell>
          <cell r="AB95">
            <v>-121735.41</v>
          </cell>
          <cell r="AD95">
            <v>-27251.760000000009</v>
          </cell>
          <cell r="AE95">
            <v>-1206589.19</v>
          </cell>
        </row>
        <row r="96">
          <cell r="C96" t="str">
            <v>Dic*</v>
          </cell>
          <cell r="D96">
            <v>16940.04</v>
          </cell>
          <cell r="E96">
            <v>59954.76</v>
          </cell>
          <cell r="F96">
            <v>207862.27</v>
          </cell>
          <cell r="G96">
            <v>59423.1</v>
          </cell>
          <cell r="I96">
            <v>344180.17</v>
          </cell>
          <cell r="J96">
            <v>3717809.6399999997</v>
          </cell>
          <cell r="O96" t="str">
            <v>Dic*</v>
          </cell>
          <cell r="P96">
            <v>170131.23</v>
          </cell>
          <cell r="Q96">
            <v>274086.99</v>
          </cell>
          <cell r="R96">
            <v>34125.620000000003</v>
          </cell>
          <cell r="S96">
            <v>-224072.13</v>
          </cell>
          <cell r="T96">
            <v>254271.72</v>
          </cell>
          <cell r="Y96" t="str">
            <v>Dic*</v>
          </cell>
          <cell r="Z96">
            <v>-265991.27</v>
          </cell>
          <cell r="AA96">
            <v>254271.72</v>
          </cell>
          <cell r="AB96">
            <v>41058.42</v>
          </cell>
          <cell r="AD96">
            <v>29338.869999999981</v>
          </cell>
          <cell r="AE96">
            <v>-1177250.32</v>
          </cell>
        </row>
        <row r="110">
          <cell r="B110" t="str">
            <v>Cuadro II-3B</v>
          </cell>
          <cell r="N110" t="str">
            <v>Cuadro II-4B</v>
          </cell>
          <cell r="X110" t="str">
            <v>Cuadro II-5B</v>
          </cell>
        </row>
        <row r="112">
          <cell r="B112" t="str">
            <v>REINTEGROS POR SERVICIOS FINANCIEROS Y NO FINANCIEROS</v>
          </cell>
          <cell r="N112" t="str">
            <v>CUENTA DE CAPITAL</v>
          </cell>
          <cell r="X112" t="str">
            <v>BALANZA CAMBIARIA</v>
          </cell>
        </row>
        <row r="114">
          <cell r="B114" t="str">
            <v>(Valores acumulados)</v>
          </cell>
          <cell r="N114" t="str">
            <v>(Valores acumulados)</v>
          </cell>
          <cell r="X114" t="str">
            <v>(Valores acumulados)</v>
          </cell>
        </row>
        <row r="116">
          <cell r="G116" t="str">
            <v xml:space="preserve">               (Miles de dólares)</v>
          </cell>
          <cell r="S116" t="str">
            <v xml:space="preserve">                         (Miles de dólares)</v>
          </cell>
          <cell r="AB116" t="str">
            <v xml:space="preserve">                                (Miles de dólares)</v>
          </cell>
        </row>
        <row r="117">
          <cell r="B117" t="str">
            <v>Período</v>
          </cell>
          <cell r="D117" t="str">
            <v>Turismo</v>
          </cell>
          <cell r="E117" t="str">
            <v>Transferencias</v>
          </cell>
          <cell r="F117" t="str">
            <v>Otros servicios</v>
          </cell>
          <cell r="G117" t="str">
            <v>Servicios</v>
          </cell>
          <cell r="I117" t="str">
            <v xml:space="preserve">    Servicios</v>
          </cell>
          <cell r="N117" t="str">
            <v>Período</v>
          </cell>
          <cell r="P117" t="str">
            <v>Sector</v>
          </cell>
          <cell r="Q117" t="str">
            <v>Inversión</v>
          </cell>
          <cell r="R117" t="str">
            <v>Sector</v>
          </cell>
          <cell r="S117" t="str">
            <v>Operaciones</v>
          </cell>
          <cell r="T117" t="str">
            <v>Financiación</v>
          </cell>
          <cell r="Y117" t="str">
            <v>Período</v>
          </cell>
          <cell r="Z117" t="str">
            <v>Superávit o</v>
          </cell>
          <cell r="AA117" t="str">
            <v xml:space="preserve">  Financiación</v>
          </cell>
          <cell r="AB117" t="str">
            <v>Causaciones</v>
          </cell>
          <cell r="AD117" t="str">
            <v>Var. reservas</v>
          </cell>
        </row>
        <row r="118">
          <cell r="E118" t="str">
            <v>e ingresos</v>
          </cell>
          <cell r="F118" t="str">
            <v>no financieros</v>
          </cell>
          <cell r="G118" t="str">
            <v>financieros</v>
          </cell>
          <cell r="I118" t="str">
            <v>totales</v>
          </cell>
          <cell r="P118" t="str">
            <v>privado¹</v>
          </cell>
          <cell r="Q118" t="str">
            <v>extranjera</v>
          </cell>
          <cell r="R118" t="str">
            <v>oficial¹</v>
          </cell>
          <cell r="S118" t="str">
            <v>especiales²</v>
          </cell>
          <cell r="T118" t="str">
            <v>neta</v>
          </cell>
          <cell r="Z118" t="str">
            <v>déficit en</v>
          </cell>
          <cell r="AA118" t="str">
            <v>neta</v>
          </cell>
          <cell r="AB118" t="str">
            <v>valuac. y prov.</v>
          </cell>
          <cell r="AD118" t="str">
            <v>netas</v>
          </cell>
        </row>
        <row r="119">
          <cell r="E119" t="str">
            <v>personales</v>
          </cell>
          <cell r="Q119" t="str">
            <v>neta</v>
          </cell>
          <cell r="Z119" t="str">
            <v>Cta. Cte.</v>
          </cell>
        </row>
        <row r="120">
          <cell r="C120" t="str">
            <v>Ene/92</v>
          </cell>
          <cell r="D120">
            <v>114511</v>
          </cell>
          <cell r="E120">
            <v>153740</v>
          </cell>
          <cell r="F120">
            <v>29600</v>
          </cell>
          <cell r="G120">
            <v>33905</v>
          </cell>
          <cell r="I120">
            <v>331756</v>
          </cell>
          <cell r="O120" t="str">
            <v>Ene/92</v>
          </cell>
          <cell r="P120">
            <v>0</v>
          </cell>
          <cell r="Q120">
            <v>0</v>
          </cell>
          <cell r="R120">
            <v>0</v>
          </cell>
          <cell r="S120">
            <v>0</v>
          </cell>
          <cell r="T120">
            <v>0</v>
          </cell>
          <cell r="Y120" t="str">
            <v>Ene/92</v>
          </cell>
          <cell r="Z120">
            <v>0</v>
          </cell>
          <cell r="AA120">
            <v>0</v>
          </cell>
          <cell r="AB120">
            <v>0</v>
          </cell>
          <cell r="AD120">
            <v>0</v>
          </cell>
        </row>
        <row r="121">
          <cell r="C121" t="str">
            <v>Feb</v>
          </cell>
          <cell r="D121">
            <v>182466</v>
          </cell>
          <cell r="E121">
            <v>281676</v>
          </cell>
          <cell r="F121">
            <v>61700</v>
          </cell>
          <cell r="G121">
            <v>67953</v>
          </cell>
          <cell r="I121">
            <v>593795</v>
          </cell>
          <cell r="O121" t="str">
            <v>Feb</v>
          </cell>
          <cell r="P121">
            <v>0</v>
          </cell>
          <cell r="Q121">
            <v>0</v>
          </cell>
          <cell r="R121">
            <v>0</v>
          </cell>
          <cell r="S121">
            <v>0</v>
          </cell>
          <cell r="T121">
            <v>0</v>
          </cell>
          <cell r="Y121" t="str">
            <v>Feb</v>
          </cell>
          <cell r="Z121">
            <v>0</v>
          </cell>
          <cell r="AA121">
            <v>0</v>
          </cell>
          <cell r="AB121">
            <v>0</v>
          </cell>
          <cell r="AD121">
            <v>0</v>
          </cell>
        </row>
        <row r="122">
          <cell r="C122" t="str">
            <v>Mar</v>
          </cell>
          <cell r="D122">
            <v>269818</v>
          </cell>
          <cell r="E122">
            <v>443310</v>
          </cell>
          <cell r="F122">
            <v>93100</v>
          </cell>
          <cell r="G122">
            <v>97478</v>
          </cell>
          <cell r="I122">
            <v>903706</v>
          </cell>
          <cell r="O122" t="str">
            <v>Mar</v>
          </cell>
          <cell r="P122">
            <v>0</v>
          </cell>
          <cell r="Q122">
            <v>0</v>
          </cell>
          <cell r="R122">
            <v>0</v>
          </cell>
          <cell r="S122">
            <v>0</v>
          </cell>
          <cell r="T122">
            <v>0</v>
          </cell>
          <cell r="Y122" t="str">
            <v>Mar</v>
          </cell>
          <cell r="Z122">
            <v>0</v>
          </cell>
          <cell r="AA122">
            <v>0</v>
          </cell>
          <cell r="AB122">
            <v>0</v>
          </cell>
          <cell r="AD122">
            <v>0</v>
          </cell>
        </row>
        <row r="123">
          <cell r="C123" t="str">
            <v>Abr</v>
          </cell>
          <cell r="D123">
            <v>345483</v>
          </cell>
          <cell r="E123">
            <v>595562</v>
          </cell>
          <cell r="F123">
            <v>126300</v>
          </cell>
          <cell r="G123">
            <v>126982</v>
          </cell>
          <cell r="I123">
            <v>1194327</v>
          </cell>
          <cell r="O123" t="str">
            <v>Abr</v>
          </cell>
          <cell r="P123">
            <v>0</v>
          </cell>
          <cell r="Q123">
            <v>0</v>
          </cell>
          <cell r="R123">
            <v>0</v>
          </cell>
          <cell r="S123">
            <v>0</v>
          </cell>
          <cell r="T123">
            <v>0</v>
          </cell>
          <cell r="Y123" t="str">
            <v>Abr</v>
          </cell>
          <cell r="Z123">
            <v>0</v>
          </cell>
          <cell r="AA123">
            <v>0</v>
          </cell>
          <cell r="AB123">
            <v>0</v>
          </cell>
          <cell r="AD123">
            <v>0</v>
          </cell>
        </row>
        <row r="124">
          <cell r="C124" t="str">
            <v>May</v>
          </cell>
          <cell r="D124">
            <v>406393</v>
          </cell>
          <cell r="E124">
            <v>783442</v>
          </cell>
          <cell r="F124">
            <v>155700</v>
          </cell>
          <cell r="G124">
            <v>161143</v>
          </cell>
          <cell r="I124">
            <v>1506678</v>
          </cell>
          <cell r="O124" t="str">
            <v>May</v>
          </cell>
          <cell r="P124">
            <v>0</v>
          </cell>
          <cell r="Q124">
            <v>0</v>
          </cell>
          <cell r="R124">
            <v>0</v>
          </cell>
          <cell r="S124">
            <v>0</v>
          </cell>
          <cell r="T124">
            <v>0</v>
          </cell>
          <cell r="Y124" t="str">
            <v>May</v>
          </cell>
          <cell r="Z124">
            <v>0</v>
          </cell>
          <cell r="AA124">
            <v>0</v>
          </cell>
          <cell r="AB124">
            <v>0</v>
          </cell>
          <cell r="AD124">
            <v>0</v>
          </cell>
        </row>
        <row r="125">
          <cell r="C125" t="str">
            <v>Jun</v>
          </cell>
          <cell r="D125">
            <v>476180</v>
          </cell>
          <cell r="E125">
            <v>970946</v>
          </cell>
          <cell r="F125">
            <v>182000</v>
          </cell>
          <cell r="G125">
            <v>192968</v>
          </cell>
          <cell r="I125">
            <v>1822094</v>
          </cell>
          <cell r="O125" t="str">
            <v>Jun</v>
          </cell>
          <cell r="P125">
            <v>0</v>
          </cell>
          <cell r="Q125">
            <v>0</v>
          </cell>
          <cell r="R125">
            <v>0</v>
          </cell>
          <cell r="S125">
            <v>0</v>
          </cell>
          <cell r="T125">
            <v>0</v>
          </cell>
          <cell r="Y125" t="str">
            <v>Jun</v>
          </cell>
          <cell r="Z125">
            <v>0</v>
          </cell>
          <cell r="AA125">
            <v>0</v>
          </cell>
          <cell r="AB125">
            <v>0</v>
          </cell>
          <cell r="AD125">
            <v>0</v>
          </cell>
        </row>
        <row r="126">
          <cell r="C126" t="str">
            <v>Jul</v>
          </cell>
          <cell r="D126">
            <v>547507</v>
          </cell>
          <cell r="E126">
            <v>1121655</v>
          </cell>
          <cell r="F126">
            <v>209800</v>
          </cell>
          <cell r="G126">
            <v>224540</v>
          </cell>
          <cell r="I126">
            <v>2103502</v>
          </cell>
          <cell r="O126" t="str">
            <v>Jul</v>
          </cell>
          <cell r="P126">
            <v>0</v>
          </cell>
          <cell r="Q126">
            <v>0</v>
          </cell>
          <cell r="R126">
            <v>0</v>
          </cell>
          <cell r="S126">
            <v>0</v>
          </cell>
          <cell r="T126">
            <v>0</v>
          </cell>
          <cell r="Y126" t="str">
            <v>Jul</v>
          </cell>
          <cell r="Z126">
            <v>0</v>
          </cell>
          <cell r="AA126">
            <v>0</v>
          </cell>
          <cell r="AB126">
            <v>0</v>
          </cell>
          <cell r="AD126">
            <v>0</v>
          </cell>
        </row>
        <row r="127">
          <cell r="C127" t="str">
            <v>Ago</v>
          </cell>
          <cell r="D127">
            <v>609528</v>
          </cell>
          <cell r="E127">
            <v>1202870</v>
          </cell>
          <cell r="F127">
            <v>237900</v>
          </cell>
          <cell r="G127">
            <v>256561</v>
          </cell>
          <cell r="I127">
            <v>2306859</v>
          </cell>
          <cell r="O127" t="str">
            <v>Ago</v>
          </cell>
          <cell r="P127">
            <v>0</v>
          </cell>
          <cell r="Q127">
            <v>0</v>
          </cell>
          <cell r="R127">
            <v>0</v>
          </cell>
          <cell r="S127">
            <v>0</v>
          </cell>
          <cell r="T127">
            <v>0</v>
          </cell>
          <cell r="Y127" t="str">
            <v>Ago</v>
          </cell>
          <cell r="Z127">
            <v>0</v>
          </cell>
          <cell r="AA127">
            <v>0</v>
          </cell>
          <cell r="AB127">
            <v>0</v>
          </cell>
          <cell r="AD127">
            <v>0</v>
          </cell>
        </row>
        <row r="128">
          <cell r="C128" t="str">
            <v>Sep</v>
          </cell>
          <cell r="D128">
            <v>705309</v>
          </cell>
          <cell r="E128">
            <v>1306602</v>
          </cell>
          <cell r="F128">
            <v>277800</v>
          </cell>
          <cell r="G128">
            <v>287128</v>
          </cell>
          <cell r="I128">
            <v>2576839</v>
          </cell>
          <cell r="O128" t="str">
            <v>Sep</v>
          </cell>
          <cell r="P128">
            <v>0</v>
          </cell>
          <cell r="Q128">
            <v>0</v>
          </cell>
          <cell r="R128">
            <v>0</v>
          </cell>
          <cell r="S128">
            <v>0</v>
          </cell>
          <cell r="T128">
            <v>0</v>
          </cell>
          <cell r="Y128" t="str">
            <v>Sep</v>
          </cell>
          <cell r="Z128">
            <v>0</v>
          </cell>
          <cell r="AA128">
            <v>0</v>
          </cell>
          <cell r="AB128">
            <v>0</v>
          </cell>
          <cell r="AD128">
            <v>0</v>
          </cell>
        </row>
        <row r="129">
          <cell r="C129" t="str">
            <v>Oct</v>
          </cell>
          <cell r="D129">
            <v>731988</v>
          </cell>
          <cell r="E129">
            <v>1389480</v>
          </cell>
          <cell r="F129">
            <v>339800</v>
          </cell>
          <cell r="G129">
            <v>330481</v>
          </cell>
          <cell r="I129">
            <v>2791749</v>
          </cell>
          <cell r="O129" t="str">
            <v>Oct</v>
          </cell>
          <cell r="P129">
            <v>0</v>
          </cell>
          <cell r="Q129">
            <v>0</v>
          </cell>
          <cell r="R129">
            <v>0</v>
          </cell>
          <cell r="S129">
            <v>0</v>
          </cell>
          <cell r="T129">
            <v>0</v>
          </cell>
          <cell r="Y129" t="str">
            <v>Oct</v>
          </cell>
          <cell r="Z129">
            <v>0</v>
          </cell>
          <cell r="AA129">
            <v>0</v>
          </cell>
          <cell r="AB129">
            <v>0</v>
          </cell>
          <cell r="AD129">
            <v>0</v>
          </cell>
        </row>
        <row r="130">
          <cell r="C130" t="str">
            <v>Nov</v>
          </cell>
          <cell r="D130">
            <v>765108</v>
          </cell>
          <cell r="E130">
            <v>1470365</v>
          </cell>
          <cell r="F130">
            <v>382900</v>
          </cell>
          <cell r="G130">
            <v>364688</v>
          </cell>
          <cell r="I130">
            <v>2983061</v>
          </cell>
          <cell r="O130" t="str">
            <v>Nov</v>
          </cell>
          <cell r="P130">
            <v>0</v>
          </cell>
          <cell r="Q130">
            <v>0</v>
          </cell>
          <cell r="R130">
            <v>0</v>
          </cell>
          <cell r="S130">
            <v>0</v>
          </cell>
          <cell r="T130">
            <v>0</v>
          </cell>
          <cell r="Y130" t="str">
            <v>Nov</v>
          </cell>
          <cell r="Z130">
            <v>0</v>
          </cell>
          <cell r="AA130">
            <v>0</v>
          </cell>
          <cell r="AB130">
            <v>0</v>
          </cell>
          <cell r="AD130">
            <v>0</v>
          </cell>
        </row>
        <row r="131">
          <cell r="C131" t="str">
            <v>Dic</v>
          </cell>
          <cell r="D131">
            <v>797385</v>
          </cell>
          <cell r="E131">
            <v>1592865</v>
          </cell>
          <cell r="F131">
            <v>416900</v>
          </cell>
          <cell r="G131">
            <v>395851</v>
          </cell>
          <cell r="I131">
            <v>3203001</v>
          </cell>
          <cell r="O131" t="str">
            <v>Dic</v>
          </cell>
          <cell r="P131">
            <v>0</v>
          </cell>
          <cell r="Q131">
            <v>0</v>
          </cell>
          <cell r="R131">
            <v>0</v>
          </cell>
          <cell r="S131">
            <v>0</v>
          </cell>
          <cell r="T131">
            <v>0</v>
          </cell>
          <cell r="Y131" t="str">
            <v>Dic</v>
          </cell>
          <cell r="Z131">
            <v>0</v>
          </cell>
          <cell r="AA131">
            <v>0</v>
          </cell>
          <cell r="AB131">
            <v>0</v>
          </cell>
          <cell r="AD131">
            <v>0</v>
          </cell>
        </row>
        <row r="132">
          <cell r="C132" t="str">
            <v>Ene/93</v>
          </cell>
          <cell r="D132">
            <v>42301.246950000001</v>
          </cell>
          <cell r="E132">
            <v>50717.076639999999</v>
          </cell>
          <cell r="F132">
            <v>25797.451659999999</v>
          </cell>
          <cell r="G132">
            <v>3826.4597199999998</v>
          </cell>
          <cell r="I132">
            <v>122642.23497</v>
          </cell>
          <cell r="O132" t="str">
            <v>Ene/93</v>
          </cell>
          <cell r="P132">
            <v>0</v>
          </cell>
          <cell r="Q132">
            <v>0</v>
          </cell>
          <cell r="R132">
            <v>0</v>
          </cell>
          <cell r="S132">
            <v>0</v>
          </cell>
          <cell r="T132">
            <v>0</v>
          </cell>
          <cell r="Y132" t="str">
            <v>Ene/93</v>
          </cell>
          <cell r="Z132">
            <v>0</v>
          </cell>
          <cell r="AA132">
            <v>0</v>
          </cell>
          <cell r="AB132">
            <v>0</v>
          </cell>
          <cell r="AD132">
            <v>0</v>
          </cell>
        </row>
        <row r="133">
          <cell r="C133" t="str">
            <v>Feb</v>
          </cell>
          <cell r="D133">
            <v>82985.200370000006</v>
          </cell>
          <cell r="E133">
            <v>134894.22963000002</v>
          </cell>
          <cell r="F133">
            <v>59266.951820000002</v>
          </cell>
          <cell r="G133">
            <v>23773.994859999999</v>
          </cell>
          <cell r="I133">
            <v>300920.37667999999</v>
          </cell>
          <cell r="O133" t="str">
            <v>Feb</v>
          </cell>
          <cell r="P133">
            <v>0</v>
          </cell>
          <cell r="Q133">
            <v>0</v>
          </cell>
          <cell r="R133">
            <v>0</v>
          </cell>
          <cell r="S133">
            <v>0</v>
          </cell>
          <cell r="T133">
            <v>0</v>
          </cell>
          <cell r="Y133" t="str">
            <v>Feb</v>
          </cell>
          <cell r="Z133">
            <v>0</v>
          </cell>
          <cell r="AA133">
            <v>0</v>
          </cell>
          <cell r="AB133">
            <v>0</v>
          </cell>
          <cell r="AD133">
            <v>0</v>
          </cell>
        </row>
        <row r="134">
          <cell r="C134" t="str">
            <v>Mar</v>
          </cell>
          <cell r="D134">
            <v>148335.22315999999</v>
          </cell>
          <cell r="E134">
            <v>228444.92926</v>
          </cell>
          <cell r="F134">
            <v>107786.55296</v>
          </cell>
          <cell r="G134">
            <v>43349.381309999997</v>
          </cell>
          <cell r="I134">
            <v>527916.08669000003</v>
          </cell>
          <cell r="O134" t="str">
            <v>Mar</v>
          </cell>
          <cell r="P134">
            <v>0</v>
          </cell>
          <cell r="Q134">
            <v>0</v>
          </cell>
          <cell r="R134">
            <v>0</v>
          </cell>
          <cell r="S134">
            <v>0</v>
          </cell>
          <cell r="T134">
            <v>0</v>
          </cell>
          <cell r="Y134" t="str">
            <v>Mar</v>
          </cell>
          <cell r="Z134">
            <v>0</v>
          </cell>
          <cell r="AA134">
            <v>0</v>
          </cell>
          <cell r="AB134">
            <v>0</v>
          </cell>
          <cell r="AD134">
            <v>0</v>
          </cell>
        </row>
        <row r="135">
          <cell r="C135" t="str">
            <v>Abr</v>
          </cell>
          <cell r="D135">
            <v>206255.25987000001</v>
          </cell>
          <cell r="E135">
            <v>347069.45279000001</v>
          </cell>
          <cell r="F135">
            <v>152427.35529000001</v>
          </cell>
          <cell r="G135">
            <v>77698.492039999997</v>
          </cell>
          <cell r="I135">
            <v>783450.55998999998</v>
          </cell>
          <cell r="O135" t="str">
            <v>Abr</v>
          </cell>
          <cell r="P135">
            <v>0</v>
          </cell>
          <cell r="Q135">
            <v>0</v>
          </cell>
          <cell r="R135">
            <v>0</v>
          </cell>
          <cell r="S135">
            <v>0</v>
          </cell>
          <cell r="T135">
            <v>0</v>
          </cell>
          <cell r="Y135" t="str">
            <v>Abr</v>
          </cell>
          <cell r="Z135">
            <v>0</v>
          </cell>
          <cell r="AA135">
            <v>0</v>
          </cell>
          <cell r="AB135">
            <v>0</v>
          </cell>
          <cell r="AD135">
            <v>0</v>
          </cell>
        </row>
        <row r="136">
          <cell r="C136" t="str">
            <v>May</v>
          </cell>
          <cell r="D136">
            <v>287742.18982999999</v>
          </cell>
          <cell r="E136">
            <v>513952.67582</v>
          </cell>
          <cell r="F136">
            <v>204250.33649000002</v>
          </cell>
          <cell r="G136">
            <v>127043.83215999999</v>
          </cell>
          <cell r="I136">
            <v>1132989.0342999999</v>
          </cell>
          <cell r="O136" t="str">
            <v>May</v>
          </cell>
          <cell r="P136">
            <v>0</v>
          </cell>
          <cell r="Q136">
            <v>0</v>
          </cell>
          <cell r="R136">
            <v>0</v>
          </cell>
          <cell r="S136">
            <v>0</v>
          </cell>
          <cell r="T136">
            <v>0</v>
          </cell>
          <cell r="Y136" t="str">
            <v>May</v>
          </cell>
          <cell r="Z136">
            <v>0</v>
          </cell>
          <cell r="AA136">
            <v>0</v>
          </cell>
          <cell r="AB136">
            <v>0</v>
          </cell>
          <cell r="AD136">
            <v>0</v>
          </cell>
        </row>
        <row r="137">
          <cell r="C137" t="str">
            <v>Jun</v>
          </cell>
          <cell r="D137">
            <v>364940.5907</v>
          </cell>
          <cell r="E137">
            <v>710329.06254000007</v>
          </cell>
          <cell r="F137">
            <v>280513.16982000001</v>
          </cell>
          <cell r="G137">
            <v>199550.53151</v>
          </cell>
          <cell r="I137">
            <v>1555333.35457</v>
          </cell>
          <cell r="O137" t="str">
            <v>Jun</v>
          </cell>
          <cell r="P137">
            <v>0</v>
          </cell>
          <cell r="Q137">
            <v>0</v>
          </cell>
          <cell r="R137">
            <v>0</v>
          </cell>
          <cell r="S137">
            <v>0</v>
          </cell>
          <cell r="T137">
            <v>0</v>
          </cell>
          <cell r="Y137" t="str">
            <v>Jun</v>
          </cell>
          <cell r="Z137">
            <v>0</v>
          </cell>
          <cell r="AA137">
            <v>0</v>
          </cell>
          <cell r="AB137">
            <v>0</v>
          </cell>
          <cell r="AD137">
            <v>0</v>
          </cell>
        </row>
        <row r="138">
          <cell r="C138" t="str">
            <v>Jul</v>
          </cell>
          <cell r="D138">
            <v>436587.07669000002</v>
          </cell>
          <cell r="E138">
            <v>806829.32422000007</v>
          </cell>
          <cell r="F138">
            <v>334521.87355000002</v>
          </cell>
          <cell r="G138">
            <v>248723.38529000001</v>
          </cell>
          <cell r="I138">
            <v>1826661.6597500001</v>
          </cell>
          <cell r="O138" t="str">
            <v>Jul</v>
          </cell>
          <cell r="P138">
            <v>0</v>
          </cell>
          <cell r="Q138">
            <v>0</v>
          </cell>
          <cell r="R138">
            <v>0</v>
          </cell>
          <cell r="S138">
            <v>0</v>
          </cell>
          <cell r="T138">
            <v>0</v>
          </cell>
          <cell r="Y138" t="str">
            <v>Jul</v>
          </cell>
          <cell r="Z138">
            <v>0</v>
          </cell>
          <cell r="AA138">
            <v>0</v>
          </cell>
          <cell r="AB138">
            <v>0</v>
          </cell>
          <cell r="AD138">
            <v>0</v>
          </cell>
        </row>
        <row r="139">
          <cell r="C139" t="str">
            <v>Ago</v>
          </cell>
          <cell r="D139">
            <v>511233.05907000002</v>
          </cell>
          <cell r="E139">
            <v>887786.80666000012</v>
          </cell>
          <cell r="F139">
            <v>375592.93824000005</v>
          </cell>
          <cell r="G139">
            <v>320826.12849999999</v>
          </cell>
          <cell r="I139">
            <v>2095438.9324700001</v>
          </cell>
          <cell r="O139" t="str">
            <v>Ago</v>
          </cell>
          <cell r="P139">
            <v>0</v>
          </cell>
          <cell r="Q139">
            <v>0</v>
          </cell>
          <cell r="R139">
            <v>0</v>
          </cell>
          <cell r="S139">
            <v>0</v>
          </cell>
          <cell r="T139">
            <v>0</v>
          </cell>
          <cell r="Y139" t="str">
            <v>Ago</v>
          </cell>
          <cell r="Z139">
            <v>0</v>
          </cell>
          <cell r="AA139">
            <v>0</v>
          </cell>
          <cell r="AB139">
            <v>0</v>
          </cell>
          <cell r="AD139">
            <v>0</v>
          </cell>
        </row>
        <row r="140">
          <cell r="C140" t="str">
            <v>Sep</v>
          </cell>
          <cell r="D140">
            <v>572920.04431999999</v>
          </cell>
          <cell r="E140">
            <v>981997.49332000013</v>
          </cell>
          <cell r="F140">
            <v>424769.12043000007</v>
          </cell>
          <cell r="G140">
            <v>373292.85861</v>
          </cell>
          <cell r="I140">
            <v>2352979.5166800003</v>
          </cell>
          <cell r="O140" t="str">
            <v>Sep</v>
          </cell>
          <cell r="P140">
            <v>0</v>
          </cell>
          <cell r="Q140">
            <v>0</v>
          </cell>
          <cell r="R140">
            <v>0</v>
          </cell>
          <cell r="S140">
            <v>0</v>
          </cell>
          <cell r="T140">
            <v>0</v>
          </cell>
          <cell r="Y140" t="str">
            <v>Sep</v>
          </cell>
          <cell r="Z140">
            <v>0</v>
          </cell>
          <cell r="AA140">
            <v>0</v>
          </cell>
          <cell r="AB140">
            <v>0</v>
          </cell>
          <cell r="AD140">
            <v>0</v>
          </cell>
        </row>
        <row r="141">
          <cell r="C141" t="str">
            <v>Oct*</v>
          </cell>
          <cell r="D141">
            <v>622645.93871000002</v>
          </cell>
          <cell r="E141">
            <v>1032323.0432600002</v>
          </cell>
          <cell r="F141">
            <v>484610.70333000005</v>
          </cell>
          <cell r="G141">
            <v>436620.14929999999</v>
          </cell>
          <cell r="I141">
            <v>2576199.8346000002</v>
          </cell>
          <cell r="O141" t="str">
            <v>Oct*</v>
          </cell>
          <cell r="P141">
            <v>0</v>
          </cell>
          <cell r="Q141">
            <v>0</v>
          </cell>
          <cell r="R141">
            <v>0</v>
          </cell>
          <cell r="S141">
            <v>0</v>
          </cell>
          <cell r="T141">
            <v>0</v>
          </cell>
          <cell r="Y141" t="str">
            <v>Oct*</v>
          </cell>
          <cell r="Z141">
            <v>0</v>
          </cell>
          <cell r="AA141">
            <v>0</v>
          </cell>
          <cell r="AB141">
            <v>0</v>
          </cell>
          <cell r="AD141">
            <v>0</v>
          </cell>
        </row>
        <row r="142">
          <cell r="C142" t="str">
            <v>Nov*</v>
          </cell>
          <cell r="D142">
            <v>696104.40433000005</v>
          </cell>
          <cell r="E142">
            <v>1091125.5622800002</v>
          </cell>
          <cell r="F142">
            <v>532814.41276000009</v>
          </cell>
          <cell r="G142">
            <v>479708.41436</v>
          </cell>
          <cell r="I142">
            <v>2799752.79373</v>
          </cell>
          <cell r="O142" t="str">
            <v>Nov*</v>
          </cell>
          <cell r="P142">
            <v>0</v>
          </cell>
          <cell r="Q142">
            <v>0</v>
          </cell>
          <cell r="R142">
            <v>0</v>
          </cell>
          <cell r="S142">
            <v>0</v>
          </cell>
          <cell r="T142">
            <v>0</v>
          </cell>
          <cell r="Y142" t="str">
            <v>Nov*</v>
          </cell>
          <cell r="Z142">
            <v>0</v>
          </cell>
          <cell r="AA142">
            <v>0</v>
          </cell>
          <cell r="AB142">
            <v>0</v>
          </cell>
          <cell r="AD142">
            <v>0</v>
          </cell>
        </row>
        <row r="143">
          <cell r="C143" t="str">
            <v>Dic*</v>
          </cell>
          <cell r="D143">
            <v>734371.78551000007</v>
          </cell>
          <cell r="E143">
            <v>1153035.6183600002</v>
          </cell>
          <cell r="F143">
            <v>623565.82502000011</v>
          </cell>
          <cell r="G143">
            <v>529355.31866999995</v>
          </cell>
          <cell r="I143">
            <v>3040328.5475599999</v>
          </cell>
          <cell r="O143" t="str">
            <v>Dic*</v>
          </cell>
          <cell r="P143">
            <v>0</v>
          </cell>
          <cell r="Q143">
            <v>0</v>
          </cell>
          <cell r="R143">
            <v>0</v>
          </cell>
          <cell r="S143">
            <v>0</v>
          </cell>
          <cell r="T143">
            <v>0</v>
          </cell>
          <cell r="Y143" t="str">
            <v>Dic*</v>
          </cell>
          <cell r="Z143">
            <v>0</v>
          </cell>
          <cell r="AA143">
            <v>0</v>
          </cell>
          <cell r="AB143">
            <v>0</v>
          </cell>
          <cell r="AD143">
            <v>0</v>
          </cell>
        </row>
        <row r="144">
          <cell r="B144">
            <v>1994</v>
          </cell>
          <cell r="C144" t="str">
            <v>Ene</v>
          </cell>
          <cell r="D144">
            <v>52309.503879999997</v>
          </cell>
          <cell r="E144">
            <v>60242.882149999998</v>
          </cell>
          <cell r="F144">
            <v>89650.704140000002</v>
          </cell>
          <cell r="G144">
            <v>9462.7562500000004</v>
          </cell>
          <cell r="I144">
            <v>211665.84641999999</v>
          </cell>
          <cell r="N144">
            <v>1994</v>
          </cell>
          <cell r="O144" t="str">
            <v>Ene</v>
          </cell>
          <cell r="P144">
            <v>98856.574869999997</v>
          </cell>
          <cell r="Q144">
            <v>4289.4307799999997</v>
          </cell>
          <cell r="R144">
            <v>36038.230360000001</v>
          </cell>
          <cell r="S144">
            <v>-58487.178059999998</v>
          </cell>
          <cell r="T144">
            <v>80697.057950000002</v>
          </cell>
          <cell r="X144">
            <v>1994</v>
          </cell>
          <cell r="Y144" t="str">
            <v>Ene</v>
          </cell>
          <cell r="Z144">
            <v>-4908.22703</v>
          </cell>
          <cell r="AA144">
            <v>80697.057950000002</v>
          </cell>
          <cell r="AB144">
            <v>44490.059780000003</v>
          </cell>
          <cell r="AD144">
            <v>120278.89070000002</v>
          </cell>
        </row>
        <row r="145">
          <cell r="C145" t="str">
            <v>Feb</v>
          </cell>
          <cell r="D145">
            <v>116683.37153</v>
          </cell>
          <cell r="E145">
            <v>122180.88803999999</v>
          </cell>
          <cell r="F145">
            <v>161920.88153000001</v>
          </cell>
          <cell r="G145">
            <v>38392.205869999998</v>
          </cell>
          <cell r="I145">
            <v>439177.34696999996</v>
          </cell>
          <cell r="O145" t="str">
            <v>Feb</v>
          </cell>
          <cell r="P145">
            <v>163135.79848999999</v>
          </cell>
          <cell r="Q145">
            <v>58439.752120000005</v>
          </cell>
          <cell r="R145">
            <v>35209.339830000004</v>
          </cell>
          <cell r="S145">
            <v>-131003.14214000001</v>
          </cell>
          <cell r="T145">
            <v>125781.74830000001</v>
          </cell>
          <cell r="Y145" t="str">
            <v>Feb</v>
          </cell>
          <cell r="Z145">
            <v>7078.2721099999999</v>
          </cell>
          <cell r="AA145">
            <v>125781.74830000001</v>
          </cell>
          <cell r="AB145">
            <v>79208.181400000001</v>
          </cell>
          <cell r="AD145">
            <v>212068.20181</v>
          </cell>
        </row>
        <row r="146">
          <cell r="C146" t="str">
            <v>Mar</v>
          </cell>
          <cell r="D146">
            <v>190488.26367000001</v>
          </cell>
          <cell r="E146">
            <v>183206.96518999999</v>
          </cell>
          <cell r="F146">
            <v>311553.44321000006</v>
          </cell>
          <cell r="G146">
            <v>66297.33236</v>
          </cell>
          <cell r="I146">
            <v>751546.00442999997</v>
          </cell>
          <cell r="O146" t="str">
            <v>Mar</v>
          </cell>
          <cell r="P146">
            <v>292687.72840000002</v>
          </cell>
          <cell r="Q146">
            <v>68166.677920000002</v>
          </cell>
          <cell r="R146">
            <v>45667.720420000005</v>
          </cell>
          <cell r="S146">
            <v>-193357.68222000002</v>
          </cell>
          <cell r="T146">
            <v>213164.44452000002</v>
          </cell>
          <cell r="Y146" t="str">
            <v>Mar</v>
          </cell>
          <cell r="Z146">
            <v>-30466.890290000003</v>
          </cell>
          <cell r="AA146">
            <v>213164.44452000002</v>
          </cell>
          <cell r="AB146">
            <v>78908.181400000001</v>
          </cell>
          <cell r="AD146">
            <v>261605.73563000001</v>
          </cell>
        </row>
        <row r="147">
          <cell r="C147" t="str">
            <v>Abr</v>
          </cell>
          <cell r="D147">
            <v>263547.70893000002</v>
          </cell>
          <cell r="E147">
            <v>252303.37766999999</v>
          </cell>
          <cell r="F147">
            <v>392025.41069000005</v>
          </cell>
          <cell r="G147">
            <v>100045.92303000001</v>
          </cell>
          <cell r="I147">
            <v>1007922.42032</v>
          </cell>
          <cell r="O147" t="str">
            <v>Abr</v>
          </cell>
          <cell r="P147">
            <v>339781.55667000002</v>
          </cell>
          <cell r="Q147">
            <v>64521.838670000005</v>
          </cell>
          <cell r="R147">
            <v>-72021.319040000002</v>
          </cell>
          <cell r="S147">
            <v>-164152.77243000001</v>
          </cell>
          <cell r="T147">
            <v>168129.30387</v>
          </cell>
          <cell r="Y147" t="str">
            <v>Abr</v>
          </cell>
          <cell r="Z147">
            <v>-242389.72596000001</v>
          </cell>
          <cell r="AA147">
            <v>168129.30387</v>
          </cell>
          <cell r="AB147">
            <v>86008.181400000001</v>
          </cell>
          <cell r="AD147">
            <v>11747.759309999994</v>
          </cell>
        </row>
        <row r="148">
          <cell r="C148" t="str">
            <v>May</v>
          </cell>
          <cell r="D148">
            <v>352689.45480000001</v>
          </cell>
          <cell r="E148">
            <v>325508.50426999998</v>
          </cell>
          <cell r="F148">
            <v>469087.46983000007</v>
          </cell>
          <cell r="G148">
            <v>150248.90960000001</v>
          </cell>
          <cell r="I148">
            <v>1297534.3385000001</v>
          </cell>
          <cell r="O148" t="str">
            <v>May</v>
          </cell>
          <cell r="P148">
            <v>417322.30219000002</v>
          </cell>
          <cell r="Q148">
            <v>111343.97708000001</v>
          </cell>
          <cell r="R148">
            <v>-54229.810240000006</v>
          </cell>
          <cell r="S148">
            <v>-231627.12654000003</v>
          </cell>
          <cell r="T148">
            <v>242809.34249000001</v>
          </cell>
          <cell r="Y148" t="str">
            <v>May</v>
          </cell>
          <cell r="Z148">
            <v>-322884.73758000002</v>
          </cell>
          <cell r="AA148">
            <v>242809.34249000001</v>
          </cell>
          <cell r="AB148">
            <v>61608.181400000001</v>
          </cell>
          <cell r="AD148">
            <v>-18467.213690000004</v>
          </cell>
        </row>
        <row r="149">
          <cell r="C149" t="str">
            <v>Jun</v>
          </cell>
          <cell r="D149">
            <v>381672.81403000001</v>
          </cell>
          <cell r="E149">
            <v>398711.33597999997</v>
          </cell>
          <cell r="F149">
            <v>553549.26296000008</v>
          </cell>
          <cell r="G149">
            <v>186132.68792</v>
          </cell>
          <cell r="I149">
            <v>1520066.1008900001</v>
          </cell>
          <cell r="O149" t="str">
            <v>Jun</v>
          </cell>
          <cell r="P149">
            <v>498822.28574000002</v>
          </cell>
          <cell r="Q149">
            <v>159277.03232</v>
          </cell>
          <cell r="R149">
            <v>24672.09607</v>
          </cell>
          <cell r="S149">
            <v>-181523.99544000003</v>
          </cell>
          <cell r="T149">
            <v>501247.41869000002</v>
          </cell>
          <cell r="Y149" t="str">
            <v>Jun</v>
          </cell>
          <cell r="Z149">
            <v>-521173.18310000002</v>
          </cell>
          <cell r="AA149">
            <v>501247.41869000002</v>
          </cell>
          <cell r="AB149">
            <v>139608.1814</v>
          </cell>
          <cell r="AD149">
            <v>119682.41699</v>
          </cell>
        </row>
        <row r="150">
          <cell r="C150" t="str">
            <v>Jul</v>
          </cell>
          <cell r="D150">
            <v>408482.53704000002</v>
          </cell>
          <cell r="E150">
            <v>452581.80963999999</v>
          </cell>
          <cell r="F150">
            <v>652679.59634000005</v>
          </cell>
          <cell r="G150">
            <v>226383.65416999999</v>
          </cell>
          <cell r="I150">
            <v>1740127.5971900001</v>
          </cell>
          <cell r="O150" t="str">
            <v>Jul</v>
          </cell>
          <cell r="P150">
            <v>556420.24680000008</v>
          </cell>
          <cell r="Q150">
            <v>205269.52627</v>
          </cell>
          <cell r="R150">
            <v>31093.630539999998</v>
          </cell>
          <cell r="S150">
            <v>-161827.35167000003</v>
          </cell>
          <cell r="T150">
            <v>630956.05194000003</v>
          </cell>
          <cell r="Y150" t="str">
            <v>Jul</v>
          </cell>
          <cell r="Z150">
            <v>-678652.81634999998</v>
          </cell>
          <cell r="AA150">
            <v>630956.05194000003</v>
          </cell>
          <cell r="AB150">
            <v>145908.1814</v>
          </cell>
          <cell r="AD150">
            <v>98211.416990000056</v>
          </cell>
        </row>
        <row r="151">
          <cell r="C151" t="str">
            <v>Ago</v>
          </cell>
          <cell r="D151">
            <v>455288.84537</v>
          </cell>
          <cell r="E151">
            <v>539421.11817000003</v>
          </cell>
          <cell r="F151">
            <v>770958.90239000006</v>
          </cell>
          <cell r="G151">
            <v>283131.47580000001</v>
          </cell>
          <cell r="I151">
            <v>2048800.34173</v>
          </cell>
          <cell r="O151" t="str">
            <v>Ago</v>
          </cell>
          <cell r="P151">
            <v>734160.07938000001</v>
          </cell>
          <cell r="Q151">
            <v>265603.60236999998</v>
          </cell>
          <cell r="R151">
            <v>-7941.8781799999997</v>
          </cell>
          <cell r="S151">
            <v>-72245.719490000032</v>
          </cell>
          <cell r="T151">
            <v>919576.08408000006</v>
          </cell>
          <cell r="Y151" t="str">
            <v>Ago</v>
          </cell>
          <cell r="Z151">
            <v>-939879.19877000002</v>
          </cell>
          <cell r="AA151">
            <v>919576.08408000006</v>
          </cell>
          <cell r="AB151">
            <v>122508.1814</v>
          </cell>
          <cell r="AD151">
            <v>102205.06671000004</v>
          </cell>
        </row>
        <row r="152">
          <cell r="C152" t="str">
            <v>Sep</v>
          </cell>
          <cell r="D152">
            <v>506184.58366</v>
          </cell>
          <cell r="E152">
            <v>629330.84243000008</v>
          </cell>
          <cell r="F152">
            <v>925964.50351000007</v>
          </cell>
          <cell r="G152">
            <v>328807.51423999999</v>
          </cell>
          <cell r="I152">
            <v>2390287.4438399998</v>
          </cell>
          <cell r="O152" t="str">
            <v>Sep</v>
          </cell>
          <cell r="P152">
            <v>950493.48565000005</v>
          </cell>
          <cell r="Q152">
            <v>315689.36430999998</v>
          </cell>
          <cell r="R152">
            <v>-213901.94933999999</v>
          </cell>
          <cell r="S152">
            <v>-138841.40364000003</v>
          </cell>
          <cell r="T152">
            <v>913439.49698000005</v>
          </cell>
          <cell r="Y152" t="str">
            <v>Sep</v>
          </cell>
          <cell r="Z152">
            <v>-1134085.97655</v>
          </cell>
          <cell r="AA152">
            <v>913439.49698000005</v>
          </cell>
          <cell r="AB152">
            <v>126608.1814</v>
          </cell>
          <cell r="AD152">
            <v>-94038.298169999965</v>
          </cell>
        </row>
        <row r="153">
          <cell r="C153" t="str">
            <v>Oct</v>
          </cell>
          <cell r="D153">
            <v>554677.86543999997</v>
          </cell>
          <cell r="E153">
            <v>700315.17301000003</v>
          </cell>
          <cell r="F153">
            <v>1040133.67104</v>
          </cell>
          <cell r="G153">
            <v>392411.62725999998</v>
          </cell>
          <cell r="I153">
            <v>2687538.3367499998</v>
          </cell>
          <cell r="O153" t="str">
            <v>Oct</v>
          </cell>
          <cell r="P153">
            <v>1123462.57012</v>
          </cell>
          <cell r="Q153">
            <v>360928.68093999999</v>
          </cell>
          <cell r="R153">
            <v>197821.18726000004</v>
          </cell>
          <cell r="S153">
            <v>-532159.01361000002</v>
          </cell>
          <cell r="T153">
            <v>1150053.4247099999</v>
          </cell>
          <cell r="Y153" t="str">
            <v>Oct</v>
          </cell>
          <cell r="Z153">
            <v>-1408181.49367</v>
          </cell>
          <cell r="AA153">
            <v>1150053.4247099999</v>
          </cell>
          <cell r="AB153">
            <v>180808.1814</v>
          </cell>
          <cell r="AD153">
            <v>-77319.887560000061</v>
          </cell>
        </row>
        <row r="154">
          <cell r="C154" t="str">
            <v>Nov</v>
          </cell>
          <cell r="D154">
            <v>602474.94834999996</v>
          </cell>
          <cell r="E154">
            <v>768661.21135</v>
          </cell>
          <cell r="F154">
            <v>1168721.81149</v>
          </cell>
          <cell r="G154">
            <v>431011.87627000001</v>
          </cell>
          <cell r="I154">
            <v>2970869.8474599998</v>
          </cell>
          <cell r="O154" t="str">
            <v>Nov</v>
          </cell>
          <cell r="P154">
            <v>1351655.56911</v>
          </cell>
          <cell r="Q154">
            <v>435241.87265999999</v>
          </cell>
          <cell r="R154">
            <v>-294446.52615999995</v>
          </cell>
          <cell r="S154">
            <v>-135890.48195000004</v>
          </cell>
          <cell r="T154">
            <v>1356560.4336599999</v>
          </cell>
          <cell r="Y154" t="str">
            <v>Nov</v>
          </cell>
          <cell r="Z154">
            <v>-1582503.5521</v>
          </cell>
          <cell r="AA154">
            <v>1356560.4336599999</v>
          </cell>
          <cell r="AB154">
            <v>86108.181400000001</v>
          </cell>
          <cell r="AD154">
            <v>-139834.93704000011</v>
          </cell>
        </row>
        <row r="155">
          <cell r="C155" t="str">
            <v>Dic</v>
          </cell>
          <cell r="D155">
            <v>646338.69303999993</v>
          </cell>
          <cell r="E155">
            <v>835048.32538000005</v>
          </cell>
          <cell r="F155">
            <v>1322121.48273</v>
          </cell>
          <cell r="G155">
            <v>460216.28084000002</v>
          </cell>
          <cell r="I155">
            <v>3263724.78199</v>
          </cell>
          <cell r="O155" t="str">
            <v>Dic</v>
          </cell>
          <cell r="P155">
            <v>1818689.6009900002</v>
          </cell>
          <cell r="Q155">
            <v>610247.36189000006</v>
          </cell>
          <cell r="R155">
            <v>-197165.58024999994</v>
          </cell>
          <cell r="S155">
            <v>-188750.23584000004</v>
          </cell>
          <cell r="T155">
            <v>2043021.1467899999</v>
          </cell>
          <cell r="Y155" t="str">
            <v>Dic</v>
          </cell>
          <cell r="Z155">
            <v>-1914708.11154</v>
          </cell>
          <cell r="AA155">
            <v>2043021.1467899999</v>
          </cell>
          <cell r="AB155">
            <v>5000</v>
          </cell>
          <cell r="AD155">
            <v>133313.03524999996</v>
          </cell>
        </row>
        <row r="156">
          <cell r="B156">
            <v>1995</v>
          </cell>
          <cell r="C156" t="str">
            <v>Ene</v>
          </cell>
          <cell r="D156">
            <v>41711.25877</v>
          </cell>
          <cell r="E156">
            <v>63400.035909999999</v>
          </cell>
          <cell r="F156">
            <v>128962.54674999999</v>
          </cell>
          <cell r="G156">
            <v>24618.388719999999</v>
          </cell>
          <cell r="I156">
            <v>258692.23014999999</v>
          </cell>
          <cell r="N156">
            <v>1995</v>
          </cell>
          <cell r="O156" t="str">
            <v>Ene</v>
          </cell>
          <cell r="P156">
            <v>143569.62966999999</v>
          </cell>
          <cell r="Q156">
            <v>48357.10555</v>
          </cell>
          <cell r="R156">
            <v>24618.561959999999</v>
          </cell>
          <cell r="S156">
            <v>122751.70388930275</v>
          </cell>
          <cell r="T156">
            <v>339297.00106930273</v>
          </cell>
          <cell r="X156">
            <v>1995</v>
          </cell>
          <cell r="Y156" t="str">
            <v>Ene</v>
          </cell>
          <cell r="Z156">
            <v>-477955.06040999998</v>
          </cell>
          <cell r="AA156">
            <v>339297.00106930273</v>
          </cell>
          <cell r="AB156">
            <v>87100</v>
          </cell>
          <cell r="AD156">
            <v>-51558.059340697248</v>
          </cell>
        </row>
        <row r="157">
          <cell r="C157" t="str">
            <v>Feb</v>
          </cell>
          <cell r="D157">
            <v>80041.020450000011</v>
          </cell>
          <cell r="E157">
            <v>147406.82008999999</v>
          </cell>
          <cell r="F157">
            <v>241685.68948999999</v>
          </cell>
          <cell r="G157">
            <v>86559.603929999997</v>
          </cell>
          <cell r="I157">
            <v>555693.13396000001</v>
          </cell>
          <cell r="O157" t="str">
            <v>Feb</v>
          </cell>
          <cell r="P157">
            <v>310805.53576</v>
          </cell>
          <cell r="Q157">
            <v>15238.130019999997</v>
          </cell>
          <cell r="R157">
            <v>46298.714850000004</v>
          </cell>
          <cell r="S157">
            <v>222630.54257099447</v>
          </cell>
          <cell r="T157">
            <v>594972.9232009945</v>
          </cell>
          <cell r="Y157" t="str">
            <v>Feb</v>
          </cell>
          <cell r="Z157">
            <v>-683421.07852999994</v>
          </cell>
          <cell r="AA157">
            <v>594972.9232009945</v>
          </cell>
          <cell r="AB157">
            <v>169000</v>
          </cell>
          <cell r="AD157">
            <v>80551.844670994557</v>
          </cell>
        </row>
        <row r="158">
          <cell r="C158" t="str">
            <v>Mar</v>
          </cell>
          <cell r="D158">
            <v>119999.27098</v>
          </cell>
          <cell r="E158">
            <v>231854.31164999999</v>
          </cell>
          <cell r="F158">
            <v>358956.91550999996</v>
          </cell>
          <cell r="G158">
            <v>189307.63624999998</v>
          </cell>
          <cell r="I158">
            <v>900118.13439000002</v>
          </cell>
          <cell r="O158" t="str">
            <v>Mar</v>
          </cell>
          <cell r="P158">
            <v>372949.88582999998</v>
          </cell>
          <cell r="Q158">
            <v>45819.850720000002</v>
          </cell>
          <cell r="R158">
            <v>146039.23001</v>
          </cell>
          <cell r="S158">
            <v>261664.47047238497</v>
          </cell>
          <cell r="T158">
            <v>826473.43703238503</v>
          </cell>
          <cell r="Y158" t="str">
            <v>Mar</v>
          </cell>
          <cell r="Z158">
            <v>-860306.60493999999</v>
          </cell>
          <cell r="AA158">
            <v>826473.43703238503</v>
          </cell>
          <cell r="AB158">
            <v>345000</v>
          </cell>
          <cell r="AD158">
            <v>311166.83209238504</v>
          </cell>
        </row>
        <row r="159">
          <cell r="C159" t="str">
            <v>Abr</v>
          </cell>
          <cell r="D159">
            <v>190180.05254</v>
          </cell>
          <cell r="E159">
            <v>293505.43014999997</v>
          </cell>
          <cell r="F159">
            <v>439695.58842999995</v>
          </cell>
          <cell r="G159">
            <v>252370.10944999999</v>
          </cell>
          <cell r="I159">
            <v>1175751.1805700001</v>
          </cell>
          <cell r="O159" t="str">
            <v>Abr</v>
          </cell>
          <cell r="P159">
            <v>428534.05757999996</v>
          </cell>
          <cell r="Q159">
            <v>128805.26086000001</v>
          </cell>
          <cell r="R159">
            <v>276590.74465999997</v>
          </cell>
          <cell r="S159">
            <v>311709.38864918798</v>
          </cell>
          <cell r="T159">
            <v>1145639.4517491879</v>
          </cell>
          <cell r="Y159" t="str">
            <v>Abr</v>
          </cell>
          <cell r="Z159">
            <v>-1099512.29281</v>
          </cell>
          <cell r="AA159">
            <v>1145639.4517491879</v>
          </cell>
          <cell r="AB159">
            <v>360600</v>
          </cell>
          <cell r="AD159">
            <v>406727.15893918788</v>
          </cell>
        </row>
        <row r="160">
          <cell r="C160" t="str">
            <v>May</v>
          </cell>
          <cell r="D160">
            <v>215742.68934000001</v>
          </cell>
          <cell r="E160">
            <v>351781.26839999994</v>
          </cell>
          <cell r="F160">
            <v>524375.42071999994</v>
          </cell>
          <cell r="G160">
            <v>340504.38000999996</v>
          </cell>
          <cell r="I160">
            <v>1432403.75847</v>
          </cell>
          <cell r="O160" t="str">
            <v>May</v>
          </cell>
          <cell r="P160">
            <v>499725.75001999998</v>
          </cell>
          <cell r="Q160">
            <v>180077.33512</v>
          </cell>
          <cell r="R160">
            <v>278867.07143999997</v>
          </cell>
          <cell r="S160">
            <v>393565.03766130761</v>
          </cell>
          <cell r="T160">
            <v>1352235.1942413074</v>
          </cell>
          <cell r="Y160" t="str">
            <v>May</v>
          </cell>
          <cell r="Z160">
            <v>-1216708.1097299999</v>
          </cell>
          <cell r="AA160">
            <v>1352235.1942413074</v>
          </cell>
          <cell r="AB160">
            <v>381000</v>
          </cell>
          <cell r="AD160">
            <v>516527.08451130753</v>
          </cell>
        </row>
        <row r="161">
          <cell r="C161" t="str">
            <v>Jun</v>
          </cell>
          <cell r="D161">
            <v>236243.00750000001</v>
          </cell>
          <cell r="E161">
            <v>434800.78154999996</v>
          </cell>
          <cell r="F161">
            <v>618185.45096999989</v>
          </cell>
          <cell r="G161">
            <v>420952.01181999996</v>
          </cell>
          <cell r="I161">
            <v>1710181.25184</v>
          </cell>
          <cell r="O161" t="str">
            <v>Jun</v>
          </cell>
          <cell r="P161">
            <v>612777.15822999994</v>
          </cell>
          <cell r="Q161">
            <v>257995.76123</v>
          </cell>
          <cell r="R161">
            <v>287839.47338999994</v>
          </cell>
          <cell r="S161">
            <v>400060.87094591447</v>
          </cell>
          <cell r="T161">
            <v>1558673.2637959144</v>
          </cell>
          <cell r="Y161" t="str">
            <v>Jun</v>
          </cell>
          <cell r="Z161">
            <v>-1373552.9197999998</v>
          </cell>
          <cell r="AA161">
            <v>1558673.2637959144</v>
          </cell>
          <cell r="AB161">
            <v>366700</v>
          </cell>
          <cell r="AD161">
            <v>551820.34399591456</v>
          </cell>
        </row>
        <row r="162">
          <cell r="C162" t="str">
            <v>Jul</v>
          </cell>
          <cell r="D162">
            <v>256874.33543000001</v>
          </cell>
          <cell r="E162">
            <v>494774.68935999996</v>
          </cell>
          <cell r="F162">
            <v>726063.44278999988</v>
          </cell>
          <cell r="G162">
            <v>514590.58133999998</v>
          </cell>
          <cell r="I162">
            <v>1992303.04892</v>
          </cell>
          <cell r="O162" t="str">
            <v>Jul</v>
          </cell>
          <cell r="P162">
            <v>657696.09904999996</v>
          </cell>
          <cell r="Q162">
            <v>369379.71534</v>
          </cell>
          <cell r="R162">
            <v>297826.53537999996</v>
          </cell>
          <cell r="S162">
            <v>463592.05407010746</v>
          </cell>
          <cell r="T162">
            <v>1788494.4038401074</v>
          </cell>
          <cell r="Y162" t="str">
            <v>Jul</v>
          </cell>
          <cell r="Z162">
            <v>-1550178.0840999999</v>
          </cell>
          <cell r="AA162">
            <v>1788494.4038401074</v>
          </cell>
          <cell r="AB162">
            <v>302600</v>
          </cell>
          <cell r="AD162">
            <v>540916.31974010752</v>
          </cell>
        </row>
        <row r="163">
          <cell r="C163" t="str">
            <v>Ago</v>
          </cell>
          <cell r="D163">
            <v>285381.14879000001</v>
          </cell>
          <cell r="E163">
            <v>558163.36323999998</v>
          </cell>
          <cell r="F163">
            <v>831988.8428199999</v>
          </cell>
          <cell r="G163">
            <v>587610.90472999995</v>
          </cell>
          <cell r="I163">
            <v>2263144.2595799998</v>
          </cell>
          <cell r="O163" t="str">
            <v>Ago</v>
          </cell>
          <cell r="P163">
            <v>841231.54352999991</v>
          </cell>
          <cell r="Q163">
            <v>302731.61962000001</v>
          </cell>
          <cell r="R163">
            <v>283734.96695999993</v>
          </cell>
          <cell r="S163">
            <v>451167.46505815972</v>
          </cell>
          <cell r="T163">
            <v>1878865.5951681596</v>
          </cell>
          <cell r="Y163" t="str">
            <v>Ago</v>
          </cell>
          <cell r="Z163">
            <v>-1759424.5069899999</v>
          </cell>
          <cell r="AA163">
            <v>1878865.5951681596</v>
          </cell>
          <cell r="AB163">
            <v>159200</v>
          </cell>
          <cell r="AD163">
            <v>278641.08817815967</v>
          </cell>
        </row>
        <row r="164">
          <cell r="C164" t="str">
            <v>Sep</v>
          </cell>
          <cell r="D164">
            <v>369174.51280999999</v>
          </cell>
          <cell r="E164">
            <v>635056.30450999993</v>
          </cell>
          <cell r="F164">
            <v>923800.70248999994</v>
          </cell>
          <cell r="G164">
            <v>635592.29416999989</v>
          </cell>
          <cell r="I164">
            <v>2563623.8139800001</v>
          </cell>
          <cell r="O164" t="str">
            <v>Sep</v>
          </cell>
          <cell r="P164">
            <v>822934.76798999996</v>
          </cell>
          <cell r="Q164">
            <v>339581.68612999999</v>
          </cell>
          <cell r="R164">
            <v>332468.57460999995</v>
          </cell>
          <cell r="S164">
            <v>471584.65475333139</v>
          </cell>
          <cell r="T164">
            <v>1966569.6834833312</v>
          </cell>
          <cell r="Y164" t="str">
            <v>Sep</v>
          </cell>
          <cell r="Z164">
            <v>-1876201.7975699999</v>
          </cell>
          <cell r="AA164">
            <v>1966569.6834833312</v>
          </cell>
          <cell r="AB164">
            <v>231900</v>
          </cell>
          <cell r="AD164">
            <v>322267.88591333129</v>
          </cell>
        </row>
        <row r="165">
          <cell r="C165" t="str">
            <v>Oct</v>
          </cell>
          <cell r="D165">
            <v>396405.78476000001</v>
          </cell>
          <cell r="E165">
            <v>689052.28295999998</v>
          </cell>
          <cell r="F165">
            <v>1029328.5938899999</v>
          </cell>
          <cell r="G165">
            <v>721427.70717999991</v>
          </cell>
          <cell r="I165">
            <v>2836214.3687900002</v>
          </cell>
          <cell r="O165" t="str">
            <v>Oct</v>
          </cell>
          <cell r="P165">
            <v>910373.71872999996</v>
          </cell>
          <cell r="Q165">
            <v>364977.44864999998</v>
          </cell>
          <cell r="R165">
            <v>453439.88086999994</v>
          </cell>
          <cell r="S165">
            <v>459340.82303982729</v>
          </cell>
          <cell r="T165">
            <v>2188131.8712898269</v>
          </cell>
          <cell r="Y165" t="str">
            <v>Oct</v>
          </cell>
          <cell r="Z165">
            <v>-2067058.2742299999</v>
          </cell>
          <cell r="AA165">
            <v>2188131.8712898269</v>
          </cell>
          <cell r="AB165">
            <v>228817.89102000001</v>
          </cell>
          <cell r="AD165">
            <v>349891.48807982705</v>
          </cell>
        </row>
        <row r="166">
          <cell r="C166" t="str">
            <v>Nov</v>
          </cell>
          <cell r="D166">
            <v>420408.65146000002</v>
          </cell>
          <cell r="E166">
            <v>735512.78822999995</v>
          </cell>
          <cell r="F166">
            <v>1160277.3653899999</v>
          </cell>
          <cell r="G166">
            <v>817818.63634999993</v>
          </cell>
          <cell r="I166">
            <v>3134017.4414300001</v>
          </cell>
          <cell r="O166" t="str">
            <v>Nov</v>
          </cell>
          <cell r="P166">
            <v>918372.42929999996</v>
          </cell>
          <cell r="Q166">
            <v>416407.33083999995</v>
          </cell>
          <cell r="R166">
            <v>516084.04277999996</v>
          </cell>
          <cell r="S166">
            <v>583507.46398812544</v>
          </cell>
          <cell r="T166">
            <v>2434371.266908125</v>
          </cell>
          <cell r="Y166" t="str">
            <v>Nov</v>
          </cell>
          <cell r="Z166">
            <v>-2342023.8551399997</v>
          </cell>
          <cell r="AA166">
            <v>2434371.266908125</v>
          </cell>
          <cell r="AB166">
            <v>184481.10756</v>
          </cell>
          <cell r="AD166">
            <v>276828.5193281254</v>
          </cell>
        </row>
        <row r="167">
          <cell r="C167" t="str">
            <v>Dic</v>
          </cell>
          <cell r="D167">
            <v>443042.26229000004</v>
          </cell>
          <cell r="E167">
            <v>787135.75596999994</v>
          </cell>
          <cell r="F167">
            <v>1263835.8688599998</v>
          </cell>
          <cell r="G167">
            <v>865745.32414999988</v>
          </cell>
          <cell r="I167">
            <v>3359759.2112700003</v>
          </cell>
          <cell r="O167" t="str">
            <v>Dic</v>
          </cell>
          <cell r="P167">
            <v>947511.96886999998</v>
          </cell>
          <cell r="Q167">
            <v>472532.97557999997</v>
          </cell>
          <cell r="R167">
            <v>649499.18134999997</v>
          </cell>
          <cell r="S167">
            <v>622775.2242601082</v>
          </cell>
          <cell r="T167">
            <v>2692319.3500601077</v>
          </cell>
          <cell r="Y167" t="str">
            <v>Dic</v>
          </cell>
          <cell r="Z167">
            <v>-2373246.4087599996</v>
          </cell>
          <cell r="AA167">
            <v>2692319.3500601077</v>
          </cell>
          <cell r="AB167">
            <v>2948.3526000000129</v>
          </cell>
          <cell r="AD167">
            <v>322021.29390010808</v>
          </cell>
        </row>
        <row r="168">
          <cell r="B168">
            <v>1996</v>
          </cell>
          <cell r="C168" t="str">
            <v>Ene</v>
          </cell>
          <cell r="D168">
            <v>22899.513849999999</v>
          </cell>
          <cell r="E168">
            <v>49575.174469999998</v>
          </cell>
          <cell r="F168">
            <v>112768.81318</v>
          </cell>
          <cell r="G168">
            <v>15695.37383</v>
          </cell>
          <cell r="I168">
            <v>200938.87533000001</v>
          </cell>
          <cell r="N168">
            <v>1996</v>
          </cell>
          <cell r="O168" t="str">
            <v>Ene</v>
          </cell>
          <cell r="P168">
            <v>-40330.620990000003</v>
          </cell>
          <cell r="Q168">
            <v>50185.876210000002</v>
          </cell>
          <cell r="R168">
            <v>20364.71285</v>
          </cell>
          <cell r="S168">
            <v>71124.668130000005</v>
          </cell>
          <cell r="T168">
            <v>101344.63619999999</v>
          </cell>
          <cell r="X168">
            <v>1996</v>
          </cell>
          <cell r="Y168" t="str">
            <v>Ene</v>
          </cell>
          <cell r="Z168">
            <v>-238568.97372000001</v>
          </cell>
          <cell r="AA168">
            <v>101344.63619999999</v>
          </cell>
          <cell r="AB168">
            <v>-23876.388029999998</v>
          </cell>
          <cell r="AD168">
            <v>-161100.72555</v>
          </cell>
        </row>
        <row r="169">
          <cell r="C169" t="str">
            <v>Feb</v>
          </cell>
          <cell r="D169">
            <v>50477.054830000001</v>
          </cell>
          <cell r="E169">
            <v>96040.2696</v>
          </cell>
          <cell r="F169">
            <v>218882.71103999999</v>
          </cell>
          <cell r="G169">
            <v>59742.364780000004</v>
          </cell>
          <cell r="I169">
            <v>425142.40025000001</v>
          </cell>
          <cell r="O169" t="str">
            <v>Feb</v>
          </cell>
          <cell r="P169">
            <v>-106568.61629000001</v>
          </cell>
          <cell r="Q169">
            <v>136916.23489999998</v>
          </cell>
          <cell r="R169">
            <v>29893.305529999998</v>
          </cell>
          <cell r="S169">
            <v>234963.11018000002</v>
          </cell>
          <cell r="T169">
            <v>295204.03431999998</v>
          </cell>
          <cell r="Y169" t="str">
            <v>Feb</v>
          </cell>
          <cell r="Z169">
            <v>-564940.78875000007</v>
          </cell>
          <cell r="AA169">
            <v>295204.03431999998</v>
          </cell>
          <cell r="AB169">
            <v>-43783.062789999996</v>
          </cell>
          <cell r="AD169">
            <v>-313519.81722000008</v>
          </cell>
        </row>
        <row r="170">
          <cell r="C170" t="str">
            <v>Mar</v>
          </cell>
          <cell r="D170">
            <v>76830.118920000008</v>
          </cell>
          <cell r="E170">
            <v>143334.21244</v>
          </cell>
          <cell r="F170">
            <v>333647.30683999998</v>
          </cell>
          <cell r="G170">
            <v>77046.309689999995</v>
          </cell>
          <cell r="I170">
            <v>630857.94788999995</v>
          </cell>
          <cell r="O170" t="str">
            <v>Mar</v>
          </cell>
          <cell r="P170">
            <v>-174252.53962</v>
          </cell>
          <cell r="Q170">
            <v>267069.08045000001</v>
          </cell>
          <cell r="R170">
            <v>127655.32248</v>
          </cell>
          <cell r="S170">
            <v>331094.37242999999</v>
          </cell>
          <cell r="T170">
            <v>551566.23573999992</v>
          </cell>
          <cell r="Y170" t="str">
            <v>Mar</v>
          </cell>
          <cell r="Z170">
            <v>-894497.85767000006</v>
          </cell>
          <cell r="AA170">
            <v>551566.23573999992</v>
          </cell>
          <cell r="AB170">
            <v>-55474.460379999997</v>
          </cell>
          <cell r="AD170">
            <v>-398406.08231000014</v>
          </cell>
        </row>
        <row r="171">
          <cell r="C171" t="str">
            <v>Abr</v>
          </cell>
          <cell r="D171">
            <v>100104.75218000001</v>
          </cell>
          <cell r="E171">
            <v>191010.4829</v>
          </cell>
          <cell r="F171">
            <v>441142.27687999996</v>
          </cell>
          <cell r="G171">
            <v>150550.70043999999</v>
          </cell>
          <cell r="I171">
            <v>882808.21239999996</v>
          </cell>
          <cell r="O171" t="str">
            <v>Abr</v>
          </cell>
          <cell r="P171">
            <v>-93395.746759999995</v>
          </cell>
          <cell r="Q171">
            <v>301033.54220999999</v>
          </cell>
          <cell r="R171">
            <v>197711.23788999999</v>
          </cell>
          <cell r="S171">
            <v>412055.34944000002</v>
          </cell>
          <cell r="T171">
            <v>817404.38277999987</v>
          </cell>
          <cell r="Y171" t="str">
            <v>Abr</v>
          </cell>
          <cell r="Z171">
            <v>-1128575.5329800001</v>
          </cell>
          <cell r="AA171">
            <v>817404.38277999987</v>
          </cell>
          <cell r="AB171">
            <v>-112112.46716999999</v>
          </cell>
          <cell r="AD171">
            <v>-423283.61737000023</v>
          </cell>
        </row>
        <row r="172">
          <cell r="C172" t="str">
            <v>May</v>
          </cell>
          <cell r="D172">
            <v>129826.04419000002</v>
          </cell>
          <cell r="E172">
            <v>242167.39316000001</v>
          </cell>
          <cell r="F172">
            <v>622359.29986999999</v>
          </cell>
          <cell r="G172">
            <v>212422.00975999999</v>
          </cell>
          <cell r="I172">
            <v>1206774.7469799998</v>
          </cell>
          <cell r="O172" t="str">
            <v>May</v>
          </cell>
          <cell r="P172">
            <v>-68238.135939999993</v>
          </cell>
          <cell r="Q172">
            <v>448320.66957999999</v>
          </cell>
          <cell r="R172">
            <v>250821.74296</v>
          </cell>
          <cell r="S172">
            <v>387976.19415</v>
          </cell>
          <cell r="T172">
            <v>1018880.4707499999</v>
          </cell>
          <cell r="Y172" t="str">
            <v>May</v>
          </cell>
          <cell r="Z172">
            <v>-1281138.6704500001</v>
          </cell>
          <cell r="AA172">
            <v>1018880.4707499999</v>
          </cell>
          <cell r="AB172">
            <v>-138970.18466</v>
          </cell>
          <cell r="AD172">
            <v>-401228.38436000026</v>
          </cell>
        </row>
        <row r="173">
          <cell r="C173" t="str">
            <v>Jun</v>
          </cell>
          <cell r="D173">
            <v>150818.82788000003</v>
          </cell>
          <cell r="E173">
            <v>285011.87341</v>
          </cell>
          <cell r="F173">
            <v>774330.19458999997</v>
          </cell>
          <cell r="G173">
            <v>243071.28246999998</v>
          </cell>
          <cell r="I173">
            <v>1453232.1783499997</v>
          </cell>
          <cell r="O173" t="str">
            <v>Jun</v>
          </cell>
          <cell r="P173">
            <v>59948.661500000002</v>
          </cell>
          <cell r="Q173">
            <v>488662.70632</v>
          </cell>
          <cell r="R173">
            <v>435097.04193000001</v>
          </cell>
          <cell r="S173">
            <v>427636.18148999999</v>
          </cell>
          <cell r="T173">
            <v>1411344.59124</v>
          </cell>
          <cell r="Y173" t="str">
            <v>Jun</v>
          </cell>
          <cell r="Z173">
            <v>-1670497.3704000001</v>
          </cell>
          <cell r="AA173">
            <v>1411344.59124</v>
          </cell>
          <cell r="AB173">
            <v>-104098.84787</v>
          </cell>
          <cell r="AD173">
            <v>-363251.62703000015</v>
          </cell>
        </row>
        <row r="174">
          <cell r="C174" t="str">
            <v>Jul</v>
          </cell>
          <cell r="D174">
            <v>171049.06830000001</v>
          </cell>
          <cell r="E174">
            <v>337608.65161</v>
          </cell>
          <cell r="F174">
            <v>957200.86755999993</v>
          </cell>
          <cell r="G174">
            <v>301801.01869</v>
          </cell>
          <cell r="I174">
            <v>1767659.6061599997</v>
          </cell>
          <cell r="O174" t="str">
            <v>Jul</v>
          </cell>
          <cell r="P174">
            <v>189069.00537999999</v>
          </cell>
          <cell r="Q174">
            <v>547798.07770999998</v>
          </cell>
          <cell r="R174">
            <v>465144.65451000002</v>
          </cell>
          <cell r="S174">
            <v>596375.56767000002</v>
          </cell>
          <cell r="T174">
            <v>1798387.3052699999</v>
          </cell>
          <cell r="Y174" t="str">
            <v>Jul</v>
          </cell>
          <cell r="Z174">
            <v>-2070208.65919</v>
          </cell>
          <cell r="AA174">
            <v>1798387.3052699999</v>
          </cell>
          <cell r="AB174">
            <v>-19319.070699999997</v>
          </cell>
          <cell r="AD174">
            <v>-291140.42462000012</v>
          </cell>
        </row>
        <row r="175">
          <cell r="C175" t="str">
            <v>Ago</v>
          </cell>
          <cell r="D175">
            <v>189037.11863000001</v>
          </cell>
          <cell r="E175">
            <v>395585.16395999998</v>
          </cell>
          <cell r="F175">
            <v>1121855.81905</v>
          </cell>
          <cell r="G175">
            <v>355754.13841999997</v>
          </cell>
          <cell r="I175">
            <v>2062232.2400599997</v>
          </cell>
          <cell r="O175" t="str">
            <v>Ago</v>
          </cell>
          <cell r="P175">
            <v>250216.39565999998</v>
          </cell>
          <cell r="Q175">
            <v>1025587.9355299999</v>
          </cell>
          <cell r="R175">
            <v>482552.52761000005</v>
          </cell>
          <cell r="S175">
            <v>490217.34367000003</v>
          </cell>
          <cell r="T175">
            <v>2248574.2024699999</v>
          </cell>
          <cell r="Y175" t="str">
            <v>Ago</v>
          </cell>
          <cell r="Z175">
            <v>-2481940.9920299998</v>
          </cell>
          <cell r="AA175">
            <v>2248574.2024699999</v>
          </cell>
          <cell r="AB175">
            <v>-32907.500139999996</v>
          </cell>
          <cell r="AD175">
            <v>-266274.28969999996</v>
          </cell>
        </row>
        <row r="176">
          <cell r="C176" t="str">
            <v>Sep</v>
          </cell>
          <cell r="D176">
            <v>205551.24368000001</v>
          </cell>
          <cell r="E176">
            <v>443235.91015999997</v>
          </cell>
          <cell r="F176">
            <v>1259257.24605</v>
          </cell>
          <cell r="G176">
            <v>406327.64154999994</v>
          </cell>
          <cell r="I176">
            <v>2314372.0414399998</v>
          </cell>
          <cell r="O176" t="str">
            <v>Sep</v>
          </cell>
          <cell r="P176">
            <v>429438.20572999999</v>
          </cell>
          <cell r="Q176">
            <v>1068628.1437499998</v>
          </cell>
          <cell r="R176">
            <v>562207.31557000009</v>
          </cell>
          <cell r="S176">
            <v>666474.10122000007</v>
          </cell>
          <cell r="T176">
            <v>2726747.76627</v>
          </cell>
          <cell r="Y176" t="str">
            <v>Sep</v>
          </cell>
          <cell r="Z176">
            <v>-2912992.32155</v>
          </cell>
          <cell r="AA176">
            <v>2726747.76627</v>
          </cell>
          <cell r="AB176">
            <v>-43973.171959999992</v>
          </cell>
          <cell r="AD176">
            <v>-230217.72723999998</v>
          </cell>
        </row>
        <row r="177">
          <cell r="C177" t="str">
            <v>Oct</v>
          </cell>
          <cell r="D177">
            <v>219654.24647000001</v>
          </cell>
          <cell r="E177">
            <v>496628.17475999997</v>
          </cell>
          <cell r="F177">
            <v>1459963.68356</v>
          </cell>
          <cell r="G177">
            <v>482441.96676999994</v>
          </cell>
          <cell r="I177">
            <v>2658688.0715600001</v>
          </cell>
          <cell r="O177" t="str">
            <v>Oct</v>
          </cell>
          <cell r="P177">
            <v>699064.39471999998</v>
          </cell>
          <cell r="Q177">
            <v>1167707.6582599997</v>
          </cell>
          <cell r="R177">
            <v>641930.95072000008</v>
          </cell>
          <cell r="S177">
            <v>778686.63878000004</v>
          </cell>
          <cell r="T177">
            <v>3287389.6424799999</v>
          </cell>
          <cell r="Y177" t="str">
            <v>Oct</v>
          </cell>
          <cell r="Z177">
            <v>-3363859.5133699998</v>
          </cell>
          <cell r="AA177">
            <v>3287389.6424799999</v>
          </cell>
          <cell r="AB177">
            <v>-9241.932489999992</v>
          </cell>
          <cell r="AD177">
            <v>-85711.803379999896</v>
          </cell>
        </row>
        <row r="178">
          <cell r="C178" t="str">
            <v>Nov</v>
          </cell>
          <cell r="D178">
            <v>233545.36512</v>
          </cell>
          <cell r="E178">
            <v>578135.14705999999</v>
          </cell>
          <cell r="F178">
            <v>1608628.7973500001</v>
          </cell>
          <cell r="G178">
            <v>534038.86857999989</v>
          </cell>
          <cell r="I178">
            <v>2954348.1781100002</v>
          </cell>
          <cell r="O178" t="str">
            <v>Nov</v>
          </cell>
          <cell r="P178">
            <v>893809.98783999996</v>
          </cell>
          <cell r="Q178">
            <v>1311939.8990799997</v>
          </cell>
          <cell r="R178">
            <v>642668.87895000004</v>
          </cell>
          <cell r="S178">
            <v>807184.76399000001</v>
          </cell>
          <cell r="T178">
            <v>3655603.5298600001</v>
          </cell>
          <cell r="Y178" t="str">
            <v>Nov</v>
          </cell>
          <cell r="Z178">
            <v>-3612282.6165099996</v>
          </cell>
          <cell r="AA178">
            <v>3655603.5298600001</v>
          </cell>
          <cell r="AB178">
            <v>10182.019270000008</v>
          </cell>
          <cell r="AD178">
            <v>53502.932620000516</v>
          </cell>
        </row>
        <row r="179">
          <cell r="C179" t="str">
            <v>Dic</v>
          </cell>
          <cell r="D179">
            <v>253806.27334000001</v>
          </cell>
          <cell r="E179">
            <v>640569.84491999994</v>
          </cell>
          <cell r="F179">
            <v>1739824.5096100001</v>
          </cell>
          <cell r="G179">
            <v>585241.19255999988</v>
          </cell>
          <cell r="I179">
            <v>3219441.8204300003</v>
          </cell>
          <cell r="O179" t="str">
            <v>Dic</v>
          </cell>
          <cell r="P179">
            <v>1995421.3680699999</v>
          </cell>
          <cell r="Q179">
            <v>1653160.5016299996</v>
          </cell>
          <cell r="R179">
            <v>904608.8340400001</v>
          </cell>
          <cell r="S179">
            <v>1018032.5725700001</v>
          </cell>
          <cell r="T179">
            <v>5571223.2763100006</v>
          </cell>
          <cell r="Y179" t="str">
            <v>Dic</v>
          </cell>
          <cell r="Z179">
            <v>-3989461.6900199996</v>
          </cell>
          <cell r="AA179">
            <v>5571223.2763100006</v>
          </cell>
          <cell r="AB179">
            <v>-9606.4302199999911</v>
          </cell>
          <cell r="AD179">
            <v>1572155.156070001</v>
          </cell>
        </row>
        <row r="180">
          <cell r="B180" t="str">
            <v>1997 (p)</v>
          </cell>
          <cell r="C180" t="str">
            <v>Ene</v>
          </cell>
          <cell r="D180">
            <v>21458.873970000001</v>
          </cell>
          <cell r="E180">
            <v>53235.418460000001</v>
          </cell>
          <cell r="F180">
            <v>179265.639</v>
          </cell>
          <cell r="G180">
            <v>26111.2084</v>
          </cell>
          <cell r="I180">
            <v>280071.13983</v>
          </cell>
          <cell r="N180" t="str">
            <v>1997 (p)</v>
          </cell>
          <cell r="O180" t="str">
            <v>Ene</v>
          </cell>
          <cell r="P180">
            <v>192010.09516</v>
          </cell>
          <cell r="Q180">
            <v>49727.278480000001</v>
          </cell>
          <cell r="R180">
            <v>-2176.2264599999999</v>
          </cell>
          <cell r="S180">
            <v>159832.60722999999</v>
          </cell>
          <cell r="T180">
            <v>399393.75440999999</v>
          </cell>
          <cell r="X180" t="str">
            <v>1997 (p)</v>
          </cell>
          <cell r="Y180" t="str">
            <v>Ene</v>
          </cell>
          <cell r="Z180">
            <v>-374670.18338</v>
          </cell>
          <cell r="AA180">
            <v>399393.75440999999</v>
          </cell>
          <cell r="AB180">
            <v>-86604.702720000001</v>
          </cell>
          <cell r="AD180">
            <v>-61881.131690000009</v>
          </cell>
        </row>
        <row r="181">
          <cell r="C181" t="str">
            <v>Feb</v>
          </cell>
          <cell r="D181">
            <v>49990.435599999997</v>
          </cell>
          <cell r="E181">
            <v>106665.57980000001</v>
          </cell>
          <cell r="F181">
            <v>346977.34603000002</v>
          </cell>
          <cell r="G181">
            <v>83846.347380000007</v>
          </cell>
          <cell r="I181">
            <v>587479.70880999998</v>
          </cell>
          <cell r="O181" t="str">
            <v>Feb</v>
          </cell>
          <cell r="P181">
            <v>264518.14072000002</v>
          </cell>
          <cell r="Q181">
            <v>199209.95922000002</v>
          </cell>
          <cell r="R181">
            <v>58494.852170000006</v>
          </cell>
          <cell r="S181">
            <v>374017.31685</v>
          </cell>
          <cell r="T181">
            <v>896240.26896000002</v>
          </cell>
          <cell r="Y181" t="str">
            <v>Feb</v>
          </cell>
          <cell r="Z181">
            <v>-870141.08658</v>
          </cell>
          <cell r="AA181">
            <v>896240.26896000002</v>
          </cell>
          <cell r="AB181">
            <v>-106392.29055000001</v>
          </cell>
          <cell r="AD181">
            <v>-80293.108169999992</v>
          </cell>
        </row>
        <row r="182">
          <cell r="C182" t="str">
            <v>Mar</v>
          </cell>
          <cell r="D182">
            <v>76386.323409999997</v>
          </cell>
          <cell r="E182">
            <v>155599.06575000001</v>
          </cell>
          <cell r="F182">
            <v>516251.68075000006</v>
          </cell>
          <cell r="G182">
            <v>125503.31884000001</v>
          </cell>
          <cell r="I182">
            <v>873740.38874999993</v>
          </cell>
          <cell r="O182" t="str">
            <v>Mar</v>
          </cell>
          <cell r="P182">
            <v>410036.34215000004</v>
          </cell>
          <cell r="Q182">
            <v>314491.98936000001</v>
          </cell>
          <cell r="R182">
            <v>100571.58579000001</v>
          </cell>
          <cell r="S182">
            <v>579591.14642999996</v>
          </cell>
          <cell r="T182">
            <v>1404691.0637300001</v>
          </cell>
          <cell r="Y182" t="str">
            <v>Mar</v>
          </cell>
          <cell r="Z182">
            <v>-1251024.3294299999</v>
          </cell>
          <cell r="AA182">
            <v>1404691.0637300001</v>
          </cell>
          <cell r="AB182">
            <v>-110539.99701000001</v>
          </cell>
          <cell r="AD182">
            <v>43126.737290000121</v>
          </cell>
        </row>
        <row r="183">
          <cell r="C183" t="str">
            <v>Abr</v>
          </cell>
          <cell r="D183">
            <v>100230.81586</v>
          </cell>
          <cell r="E183">
            <v>212025.01800000001</v>
          </cell>
          <cell r="F183">
            <v>727633.0684300001</v>
          </cell>
          <cell r="G183">
            <v>176719.06095000001</v>
          </cell>
          <cell r="I183">
            <v>1216607.96324</v>
          </cell>
          <cell r="O183" t="str">
            <v>Abr</v>
          </cell>
          <cell r="P183">
            <v>625042.68231000006</v>
          </cell>
          <cell r="Q183">
            <v>445439.98560999997</v>
          </cell>
          <cell r="R183">
            <v>146285.97908000002</v>
          </cell>
          <cell r="S183">
            <v>678847.50430999999</v>
          </cell>
          <cell r="T183">
            <v>1895616.1513100001</v>
          </cell>
          <cell r="Y183" t="str">
            <v>Abr</v>
          </cell>
          <cell r="Z183">
            <v>-1673575.6427799999</v>
          </cell>
          <cell r="AA183">
            <v>1895616.1513100001</v>
          </cell>
          <cell r="AB183">
            <v>-123153.65503000001</v>
          </cell>
          <cell r="AD183">
            <v>98886.853500000216</v>
          </cell>
        </row>
        <row r="184">
          <cell r="C184" t="str">
            <v>May</v>
          </cell>
          <cell r="D184">
            <v>123695.43988000001</v>
          </cell>
          <cell r="E184">
            <v>256490.21923000002</v>
          </cell>
          <cell r="F184">
            <v>891843.61048000003</v>
          </cell>
          <cell r="G184">
            <v>240877.57551000002</v>
          </cell>
          <cell r="I184">
            <v>1512906.8451</v>
          </cell>
          <cell r="O184" t="str">
            <v>May</v>
          </cell>
          <cell r="P184">
            <v>864227.23750000005</v>
          </cell>
          <cell r="Q184">
            <v>562679.59771</v>
          </cell>
          <cell r="R184">
            <v>141296.92512000003</v>
          </cell>
          <cell r="S184">
            <v>656291.38462999999</v>
          </cell>
          <cell r="T184">
            <v>2224495.1449600002</v>
          </cell>
          <cell r="Y184" t="str">
            <v>May</v>
          </cell>
          <cell r="Z184">
            <v>-1881103.7799499999</v>
          </cell>
          <cell r="AA184">
            <v>2224495.1449600002</v>
          </cell>
          <cell r="AB184">
            <v>-19918.772410000005</v>
          </cell>
          <cell r="AD184">
            <v>323472.59260000032</v>
          </cell>
        </row>
        <row r="185">
          <cell r="C185" t="str">
            <v>Jun</v>
          </cell>
          <cell r="D185">
            <v>142361.54466000001</v>
          </cell>
          <cell r="E185">
            <v>299412.39669000002</v>
          </cell>
          <cell r="F185">
            <v>1025614.31053</v>
          </cell>
          <cell r="G185">
            <v>330428.58091000002</v>
          </cell>
          <cell r="I185">
            <v>1797816.8327899999</v>
          </cell>
          <cell r="O185" t="str">
            <v>Jun</v>
          </cell>
          <cell r="P185">
            <v>991628.49959000002</v>
          </cell>
          <cell r="Q185">
            <v>599898.67344000004</v>
          </cell>
          <cell r="R185">
            <v>239799.85112000004</v>
          </cell>
          <cell r="S185">
            <v>729020.67353000003</v>
          </cell>
          <cell r="T185">
            <v>2560347.6976800002</v>
          </cell>
          <cell r="Y185" t="str">
            <v>Jun</v>
          </cell>
          <cell r="Z185">
            <v>-2149607.7091600001</v>
          </cell>
          <cell r="AA185">
            <v>2560347.6976800002</v>
          </cell>
          <cell r="AB185">
            <v>-36208.777660000007</v>
          </cell>
          <cell r="AD185">
            <v>374531.21086000011</v>
          </cell>
        </row>
        <row r="186">
          <cell r="C186" t="str">
            <v>Jul</v>
          </cell>
          <cell r="D186">
            <v>158871.42758000002</v>
          </cell>
          <cell r="E186">
            <v>351011.59308000002</v>
          </cell>
          <cell r="F186">
            <v>1175111.27217</v>
          </cell>
          <cell r="G186">
            <v>403633.15659000003</v>
          </cell>
          <cell r="I186">
            <v>2088627.44942</v>
          </cell>
          <cell r="O186" t="str">
            <v>Jul</v>
          </cell>
          <cell r="P186">
            <v>1102095.2902500001</v>
          </cell>
          <cell r="Q186">
            <v>853744.02324000001</v>
          </cell>
          <cell r="R186">
            <v>291025.34457000002</v>
          </cell>
          <cell r="S186">
            <v>634764.20452999999</v>
          </cell>
          <cell r="T186">
            <v>2881628.86259</v>
          </cell>
          <cell r="Y186" t="str">
            <v>Jul</v>
          </cell>
          <cell r="Z186">
            <v>-2413675.2331099999</v>
          </cell>
          <cell r="AA186">
            <v>2881628.86259</v>
          </cell>
          <cell r="AB186">
            <v>-84990.385540000017</v>
          </cell>
          <cell r="AD186">
            <v>382963.24394000007</v>
          </cell>
        </row>
        <row r="187">
          <cell r="C187" t="str">
            <v>Ago</v>
          </cell>
          <cell r="D187">
            <v>171354.65592000002</v>
          </cell>
          <cell r="E187">
            <v>390503.00804000004</v>
          </cell>
          <cell r="F187">
            <v>1318683.50364</v>
          </cell>
          <cell r="G187">
            <v>485206.00783000002</v>
          </cell>
          <cell r="I187">
            <v>2365747.1754299998</v>
          </cell>
          <cell r="O187" t="str">
            <v>Ago</v>
          </cell>
          <cell r="P187">
            <v>1139821.8823600002</v>
          </cell>
          <cell r="Q187">
            <v>926060.87471999996</v>
          </cell>
          <cell r="R187">
            <v>370040.74883</v>
          </cell>
          <cell r="S187">
            <v>786876.55744999996</v>
          </cell>
          <cell r="T187">
            <v>3222800.06336</v>
          </cell>
          <cell r="Y187" t="str">
            <v>Ago</v>
          </cell>
          <cell r="Z187">
            <v>-2774178.31036</v>
          </cell>
          <cell r="AA187">
            <v>3222800.06336</v>
          </cell>
          <cell r="AB187">
            <v>-64292.784430000014</v>
          </cell>
          <cell r="AD187">
            <v>384328.96857000003</v>
          </cell>
        </row>
        <row r="188">
          <cell r="C188" t="str">
            <v>Sep</v>
          </cell>
          <cell r="D188">
            <v>187689.33712000001</v>
          </cell>
          <cell r="E188">
            <v>443247.69712000003</v>
          </cell>
          <cell r="F188">
            <v>1475822.30742</v>
          </cell>
          <cell r="G188">
            <v>554046.20296000002</v>
          </cell>
          <cell r="I188">
            <v>2660805.5446199998</v>
          </cell>
          <cell r="O188" t="str">
            <v>Sep</v>
          </cell>
          <cell r="P188">
            <v>1044821.2411300002</v>
          </cell>
          <cell r="Q188">
            <v>1148432.0716800001</v>
          </cell>
          <cell r="R188">
            <v>413952.59125</v>
          </cell>
          <cell r="S188">
            <v>878845.45863999997</v>
          </cell>
          <cell r="T188">
            <v>3486051.3626999999</v>
          </cell>
          <cell r="Y188" t="str">
            <v>Sep</v>
          </cell>
          <cell r="Z188">
            <v>-3164871.8856699998</v>
          </cell>
          <cell r="AA188">
            <v>3486051.3626999999</v>
          </cell>
          <cell r="AB188">
            <v>10951.139559999981</v>
          </cell>
          <cell r="AD188">
            <v>332130.61659000017</v>
          </cell>
        </row>
        <row r="189">
          <cell r="C189" t="str">
            <v>Oct</v>
          </cell>
          <cell r="D189">
            <v>199301.70037000001</v>
          </cell>
          <cell r="E189">
            <v>494568.37804000004</v>
          </cell>
          <cell r="F189">
            <v>1639731.85033</v>
          </cell>
          <cell r="G189">
            <v>690001.92186999996</v>
          </cell>
          <cell r="I189">
            <v>3023603.8506100001</v>
          </cell>
          <cell r="O189" t="str">
            <v>Oct</v>
          </cell>
          <cell r="P189">
            <v>1069522.0285700003</v>
          </cell>
          <cell r="Q189">
            <v>1287548.0581400001</v>
          </cell>
          <cell r="R189">
            <v>443908.75660999998</v>
          </cell>
          <cell r="S189">
            <v>997887.31663999998</v>
          </cell>
          <cell r="T189">
            <v>3798866.1599599998</v>
          </cell>
          <cell r="Y189" t="str">
            <v>Oct</v>
          </cell>
          <cell r="Z189">
            <v>-3633252.0492999996</v>
          </cell>
          <cell r="AA189">
            <v>3798866.1599599998</v>
          </cell>
          <cell r="AB189">
            <v>95462.169219999982</v>
          </cell>
          <cell r="AD189">
            <v>261076.27988000022</v>
          </cell>
        </row>
        <row r="190">
          <cell r="C190" t="str">
            <v>Nov</v>
          </cell>
          <cell r="D190">
            <v>208198.81092000002</v>
          </cell>
          <cell r="E190">
            <v>559076.38533000008</v>
          </cell>
          <cell r="F190">
            <v>1768245.15338</v>
          </cell>
          <cell r="G190">
            <v>767229.21057999996</v>
          </cell>
          <cell r="I190">
            <v>3302749.5602100003</v>
          </cell>
          <cell r="O190" t="str">
            <v>Nov</v>
          </cell>
          <cell r="P190">
            <v>1323783.1067000004</v>
          </cell>
          <cell r="Q190">
            <v>1368255.0678600001</v>
          </cell>
          <cell r="R190">
            <v>458779.46885999996</v>
          </cell>
          <cell r="S190">
            <v>941780.43950999994</v>
          </cell>
          <cell r="T190">
            <v>4092598.08293</v>
          </cell>
          <cell r="Y190" t="str">
            <v>Nov</v>
          </cell>
          <cell r="Z190">
            <v>-4006137.2416499997</v>
          </cell>
          <cell r="AA190">
            <v>4092598.08293</v>
          </cell>
          <cell r="AB190">
            <v>2807.0038699999859</v>
          </cell>
          <cell r="AD190">
            <v>89267.84515000027</v>
          </cell>
        </row>
        <row r="191">
          <cell r="C191" t="str">
            <v>Dic*</v>
          </cell>
          <cell r="D191">
            <v>218331.27782000002</v>
          </cell>
          <cell r="E191">
            <v>605667.1873300001</v>
          </cell>
          <cell r="F191">
            <v>1939515.6369</v>
          </cell>
          <cell r="G191">
            <v>848855.76094999991</v>
          </cell>
          <cell r="I191">
            <v>3612369.8630000004</v>
          </cell>
          <cell r="O191" t="str">
            <v>Dic*</v>
          </cell>
          <cell r="P191">
            <v>1649391.1537300004</v>
          </cell>
          <cell r="Q191">
            <v>1472688.22083</v>
          </cell>
          <cell r="R191">
            <v>313145.07629</v>
          </cell>
          <cell r="S191">
            <v>1281444.6990799999</v>
          </cell>
          <cell r="T191">
            <v>4716669.1499300003</v>
          </cell>
          <cell r="Y191" t="str">
            <v>Dic*</v>
          </cell>
          <cell r="Z191">
            <v>-4710923.4390799999</v>
          </cell>
          <cell r="AA191">
            <v>4716669.1499300003</v>
          </cell>
          <cell r="AB191">
            <v>-21036.958130000014</v>
          </cell>
          <cell r="AD191">
            <v>-15291.247279999632</v>
          </cell>
        </row>
        <row r="192">
          <cell r="B192" t="str">
            <v>1998 (p)</v>
          </cell>
          <cell r="C192" t="str">
            <v>Ene</v>
          </cell>
          <cell r="D192">
            <v>10350.36</v>
          </cell>
          <cell r="E192">
            <v>38654.15</v>
          </cell>
          <cell r="F192">
            <v>141359.57999999999</v>
          </cell>
          <cell r="G192">
            <v>64620.83</v>
          </cell>
          <cell r="I192">
            <v>254984.93</v>
          </cell>
          <cell r="N192" t="str">
            <v>1998 (p)</v>
          </cell>
          <cell r="O192" t="str">
            <v>Ene</v>
          </cell>
          <cell r="P192">
            <v>-31332.01</v>
          </cell>
          <cell r="Q192">
            <v>99502.02</v>
          </cell>
          <cell r="R192">
            <v>20191.490000000002</v>
          </cell>
          <cell r="S192">
            <v>74486.600000000006</v>
          </cell>
          <cell r="T192">
            <v>162848.10999999999</v>
          </cell>
          <cell r="X192" t="str">
            <v>1998 (p)</v>
          </cell>
          <cell r="Y192" t="str">
            <v>Ene</v>
          </cell>
          <cell r="Z192">
            <v>-348426.18</v>
          </cell>
          <cell r="AA192">
            <v>162848.10999999999</v>
          </cell>
          <cell r="AB192">
            <v>51421.14</v>
          </cell>
          <cell r="AD192">
            <v>-134156.93</v>
          </cell>
        </row>
        <row r="193">
          <cell r="C193" t="str">
            <v>Feb</v>
          </cell>
          <cell r="D193">
            <v>21244.04</v>
          </cell>
          <cell r="E193">
            <v>76723.61</v>
          </cell>
          <cell r="F193">
            <v>317102.78000000003</v>
          </cell>
          <cell r="G193">
            <v>149456.01</v>
          </cell>
          <cell r="I193">
            <v>564526.43999999994</v>
          </cell>
          <cell r="O193" t="str">
            <v>Feb</v>
          </cell>
          <cell r="P193">
            <v>-187804.52000000002</v>
          </cell>
          <cell r="Q193">
            <v>76123.06</v>
          </cell>
          <cell r="R193">
            <v>95250.08</v>
          </cell>
          <cell r="S193">
            <v>302900.09999999998</v>
          </cell>
          <cell r="T193">
            <v>286468.73</v>
          </cell>
          <cell r="Y193" t="str">
            <v>Feb</v>
          </cell>
          <cell r="Z193">
            <v>-850751.7</v>
          </cell>
          <cell r="AA193">
            <v>286468.73</v>
          </cell>
          <cell r="AB193">
            <v>46867.25</v>
          </cell>
          <cell r="AD193">
            <v>-517415.72</v>
          </cell>
        </row>
        <row r="194">
          <cell r="C194" t="str">
            <v>Mar</v>
          </cell>
          <cell r="D194">
            <v>34378.949999999997</v>
          </cell>
          <cell r="E194">
            <v>117615.58</v>
          </cell>
          <cell r="F194">
            <v>515313.42000000004</v>
          </cell>
          <cell r="G194">
            <v>202904.96000000002</v>
          </cell>
          <cell r="I194">
            <v>870212.90999999992</v>
          </cell>
          <cell r="O194" t="str">
            <v>Mar</v>
          </cell>
          <cell r="P194">
            <v>-241205.73</v>
          </cell>
          <cell r="Q194">
            <v>382864.25</v>
          </cell>
          <cell r="R194">
            <v>207646.13</v>
          </cell>
          <cell r="S194">
            <v>333711.06999999995</v>
          </cell>
          <cell r="T194">
            <v>683015.72</v>
          </cell>
          <cell r="Y194" t="str">
            <v>Mar</v>
          </cell>
          <cell r="Z194">
            <v>-1214914.22</v>
          </cell>
          <cell r="AA194">
            <v>683015.72</v>
          </cell>
          <cell r="AB194">
            <v>-484.0199999999968</v>
          </cell>
          <cell r="AD194">
            <v>-532382.52</v>
          </cell>
        </row>
        <row r="195">
          <cell r="C195" t="str">
            <v>Abr</v>
          </cell>
          <cell r="D195">
            <v>45691.77</v>
          </cell>
          <cell r="E195">
            <v>138120.21</v>
          </cell>
          <cell r="F195">
            <v>647397.56000000006</v>
          </cell>
          <cell r="G195">
            <v>261410.97000000003</v>
          </cell>
          <cell r="I195">
            <v>1092620.51</v>
          </cell>
          <cell r="O195" t="str">
            <v>Abr</v>
          </cell>
          <cell r="P195">
            <v>-101338.11000000002</v>
          </cell>
          <cell r="Q195">
            <v>384726.55</v>
          </cell>
          <cell r="R195">
            <v>125445.43000000001</v>
          </cell>
          <cell r="S195">
            <v>694481.02</v>
          </cell>
          <cell r="T195">
            <v>1103314.8899999999</v>
          </cell>
          <cell r="Y195" t="str">
            <v>Abr</v>
          </cell>
          <cell r="Z195">
            <v>-1652321.74</v>
          </cell>
          <cell r="AA195">
            <v>1103314.8899999999</v>
          </cell>
          <cell r="AB195">
            <v>45771.350000000006</v>
          </cell>
          <cell r="AD195">
            <v>-503235.50000000012</v>
          </cell>
        </row>
        <row r="196">
          <cell r="C196" t="str">
            <v>May</v>
          </cell>
          <cell r="D196">
            <v>56991.069999999992</v>
          </cell>
          <cell r="E196">
            <v>180965.55</v>
          </cell>
          <cell r="F196">
            <v>793736.15</v>
          </cell>
          <cell r="G196">
            <v>326240.98000000004</v>
          </cell>
          <cell r="I196">
            <v>1357933.75</v>
          </cell>
          <cell r="O196" t="str">
            <v>May</v>
          </cell>
          <cell r="P196">
            <v>-180655.87</v>
          </cell>
          <cell r="Q196">
            <v>501665.25</v>
          </cell>
          <cell r="R196">
            <v>126898.19</v>
          </cell>
          <cell r="S196">
            <v>750528.39</v>
          </cell>
          <cell r="T196">
            <v>1198435.96</v>
          </cell>
          <cell r="Y196" t="str">
            <v>May</v>
          </cell>
          <cell r="Z196">
            <v>-1959059.9</v>
          </cell>
          <cell r="AA196">
            <v>1198435.96</v>
          </cell>
          <cell r="AB196">
            <v>36232.850000000006</v>
          </cell>
          <cell r="AD196">
            <v>-724391.09</v>
          </cell>
        </row>
        <row r="197">
          <cell r="C197" t="str">
            <v>Jun</v>
          </cell>
          <cell r="D197">
            <v>65533.19999999999</v>
          </cell>
          <cell r="E197">
            <v>220281.28999999998</v>
          </cell>
          <cell r="F197">
            <v>1010223.31</v>
          </cell>
          <cell r="G197">
            <v>399572.02</v>
          </cell>
          <cell r="I197">
            <v>1695609.82</v>
          </cell>
          <cell r="O197" t="str">
            <v>Jun</v>
          </cell>
          <cell r="P197">
            <v>64688.100000000006</v>
          </cell>
          <cell r="Q197">
            <v>547418.47</v>
          </cell>
          <cell r="R197">
            <v>225928.15000000002</v>
          </cell>
          <cell r="S197">
            <v>514494.29000000004</v>
          </cell>
          <cell r="T197">
            <v>1352529.01</v>
          </cell>
          <cell r="Y197" t="str">
            <v>Jun</v>
          </cell>
          <cell r="Z197">
            <v>-2223950.16</v>
          </cell>
          <cell r="AA197">
            <v>1352529.01</v>
          </cell>
          <cell r="AB197">
            <v>24589.910000000003</v>
          </cell>
          <cell r="AD197">
            <v>-846831.24000000011</v>
          </cell>
        </row>
        <row r="198">
          <cell r="C198" t="str">
            <v>Jul</v>
          </cell>
          <cell r="D198">
            <v>78838.62999999999</v>
          </cell>
          <cell r="E198">
            <v>265182.84999999998</v>
          </cell>
          <cell r="F198">
            <v>1183246.22</v>
          </cell>
          <cell r="G198">
            <v>473331.44</v>
          </cell>
          <cell r="I198">
            <v>2000599.1300000001</v>
          </cell>
          <cell r="O198" t="str">
            <v>Jul</v>
          </cell>
          <cell r="P198">
            <v>168836.02000000002</v>
          </cell>
          <cell r="Q198">
            <v>614837.80999999994</v>
          </cell>
          <cell r="R198">
            <v>248525.44000000003</v>
          </cell>
          <cell r="S198">
            <v>719687.84000000008</v>
          </cell>
          <cell r="T198">
            <v>1751887.1099999999</v>
          </cell>
          <cell r="Y198" t="str">
            <v>Jul</v>
          </cell>
          <cell r="Z198">
            <v>-2582799.23</v>
          </cell>
          <cell r="AA198">
            <v>1751887.1099999999</v>
          </cell>
          <cell r="AB198">
            <v>3826.760000000002</v>
          </cell>
          <cell r="AD198">
            <v>-827085.3600000001</v>
          </cell>
        </row>
        <row r="199">
          <cell r="C199" t="str">
            <v>Ago</v>
          </cell>
          <cell r="D199">
            <v>93753.889999999985</v>
          </cell>
          <cell r="E199">
            <v>303172.76999999996</v>
          </cell>
          <cell r="F199">
            <v>1349105.51</v>
          </cell>
          <cell r="G199">
            <v>534363.61</v>
          </cell>
          <cell r="I199">
            <v>2280395.77</v>
          </cell>
          <cell r="O199" t="str">
            <v>Ago</v>
          </cell>
          <cell r="P199">
            <v>191294.78000000003</v>
          </cell>
          <cell r="Q199">
            <v>738646.66999999993</v>
          </cell>
          <cell r="R199">
            <v>343395.31000000006</v>
          </cell>
          <cell r="S199">
            <v>739080.54</v>
          </cell>
          <cell r="T199">
            <v>2012417.2999999998</v>
          </cell>
          <cell r="Y199" t="str">
            <v>Ago</v>
          </cell>
          <cell r="Z199">
            <v>-3068529.67</v>
          </cell>
          <cell r="AA199">
            <v>2012417.2999999998</v>
          </cell>
          <cell r="AB199">
            <v>84435.799999999988</v>
          </cell>
          <cell r="AD199">
            <v>-971676.57000000007</v>
          </cell>
        </row>
        <row r="200">
          <cell r="C200" t="str">
            <v>Sep</v>
          </cell>
          <cell r="D200">
            <v>109866.19999999998</v>
          </cell>
          <cell r="E200">
            <v>344713.44999999995</v>
          </cell>
          <cell r="F200">
            <v>1508029.15</v>
          </cell>
          <cell r="G200">
            <v>621842.75</v>
          </cell>
          <cell r="I200">
            <v>2584451.54</v>
          </cell>
          <cell r="O200" t="str">
            <v>Sep</v>
          </cell>
          <cell r="P200">
            <v>229933.13000000003</v>
          </cell>
          <cell r="Q200">
            <v>710635.41999999993</v>
          </cell>
          <cell r="R200">
            <v>448879.18000000005</v>
          </cell>
          <cell r="S200">
            <v>855974.09000000008</v>
          </cell>
          <cell r="T200">
            <v>2245421.8299999996</v>
          </cell>
          <cell r="Y200" t="str">
            <v>Sep</v>
          </cell>
          <cell r="Z200">
            <v>-3613164.45</v>
          </cell>
          <cell r="AA200">
            <v>2245421.8299999996</v>
          </cell>
          <cell r="AB200">
            <v>214752.63999999998</v>
          </cell>
          <cell r="AD200">
            <v>-1152989.9800000007</v>
          </cell>
        </row>
        <row r="201">
          <cell r="C201" t="str">
            <v>Oct</v>
          </cell>
          <cell r="D201">
            <v>128413.39999999998</v>
          </cell>
          <cell r="E201">
            <v>392090.58999999997</v>
          </cell>
          <cell r="F201">
            <v>1727095.63</v>
          </cell>
          <cell r="G201">
            <v>776207.8</v>
          </cell>
          <cell r="I201">
            <v>3023807.42</v>
          </cell>
          <cell r="O201" t="str">
            <v>Oct</v>
          </cell>
          <cell r="P201">
            <v>149970.61000000004</v>
          </cell>
          <cell r="Q201">
            <v>991706.65999999992</v>
          </cell>
          <cell r="R201">
            <v>486233.79000000004</v>
          </cell>
          <cell r="S201">
            <v>828116.79</v>
          </cell>
          <cell r="T201">
            <v>2456027.8499999996</v>
          </cell>
          <cell r="Y201" t="str">
            <v>Oct</v>
          </cell>
          <cell r="Z201">
            <v>-3877528.97</v>
          </cell>
          <cell r="AA201">
            <v>2456027.8499999996</v>
          </cell>
          <cell r="AB201">
            <v>242163.68999999997</v>
          </cell>
          <cell r="AD201">
            <v>-1179337.4300000006</v>
          </cell>
        </row>
        <row r="202">
          <cell r="C202" t="str">
            <v>Nov</v>
          </cell>
          <cell r="D202">
            <v>152728.08999999997</v>
          </cell>
          <cell r="E202">
            <v>436360.52999999997</v>
          </cell>
          <cell r="F202">
            <v>1911148.2399999998</v>
          </cell>
          <cell r="G202">
            <v>873392.6100000001</v>
          </cell>
          <cell r="I202">
            <v>3373629.4699999997</v>
          </cell>
          <cell r="O202" t="str">
            <v>Nov</v>
          </cell>
          <cell r="P202">
            <v>247651.97000000003</v>
          </cell>
          <cell r="Q202">
            <v>1060046.92</v>
          </cell>
          <cell r="R202">
            <v>500718.75000000006</v>
          </cell>
          <cell r="S202">
            <v>868916.32000000007</v>
          </cell>
          <cell r="T202">
            <v>2677333.9699999997</v>
          </cell>
          <cell r="Y202" t="str">
            <v>Nov</v>
          </cell>
          <cell r="Z202">
            <v>-4004351.4400000004</v>
          </cell>
          <cell r="AA202">
            <v>2677333.9699999997</v>
          </cell>
          <cell r="AB202">
            <v>120428.27999999997</v>
          </cell>
          <cell r="AD202">
            <v>-1206589.1900000006</v>
          </cell>
        </row>
        <row r="203">
          <cell r="C203" t="str">
            <v>Dic*</v>
          </cell>
          <cell r="D203">
            <v>169668.12999999998</v>
          </cell>
          <cell r="E203">
            <v>496315.29</v>
          </cell>
          <cell r="F203">
            <v>2119010.5099999998</v>
          </cell>
          <cell r="G203">
            <v>932815.71000000008</v>
          </cell>
          <cell r="I203">
            <v>3717809.6399999997</v>
          </cell>
          <cell r="O203" t="str">
            <v>Dic*</v>
          </cell>
          <cell r="P203">
            <v>417783.20000000007</v>
          </cell>
          <cell r="Q203">
            <v>1334133.9099999999</v>
          </cell>
          <cell r="R203">
            <v>534844.37000000011</v>
          </cell>
          <cell r="S203">
            <v>644844.19000000006</v>
          </cell>
          <cell r="T203">
            <v>2931605.69</v>
          </cell>
          <cell r="Y203" t="str">
            <v>Dic*</v>
          </cell>
          <cell r="Z203">
            <v>-4270342.7100000009</v>
          </cell>
          <cell r="AA203">
            <v>2931605.69</v>
          </cell>
          <cell r="AB203">
            <v>161486.69999999995</v>
          </cell>
          <cell r="AD203">
            <v>-1177250.320000001</v>
          </cell>
        </row>
        <row r="217">
          <cell r="B217" t="str">
            <v>Cuadro II-3C</v>
          </cell>
          <cell r="N217" t="str">
            <v>Cuadro II-4C</v>
          </cell>
          <cell r="X217" t="str">
            <v>Cuadro II-5C</v>
          </cell>
        </row>
        <row r="219">
          <cell r="B219" t="str">
            <v>REINTEGROS POR SERVICIOS FINANCIEROS Y NO FINANCIEROS</v>
          </cell>
          <cell r="N219" t="str">
            <v>CUENTA DE CAPITAL</v>
          </cell>
          <cell r="X219" t="str">
            <v>BALANZA CAMBIARIA</v>
          </cell>
        </row>
        <row r="221">
          <cell r="B221" t="str">
            <v>(Promedios móviles de orden 6)</v>
          </cell>
          <cell r="N221" t="str">
            <v>(Promedios móviles de órden 6)</v>
          </cell>
          <cell r="X221" t="str">
            <v>(Promedios móviles de orden 6)</v>
          </cell>
        </row>
        <row r="223">
          <cell r="G223" t="str">
            <v xml:space="preserve">             (Miles de dólares)</v>
          </cell>
          <cell r="S223" t="str">
            <v xml:space="preserve">                          (Miles de dólares)</v>
          </cell>
          <cell r="AB223" t="str">
            <v xml:space="preserve">                                 (Miles de dólares)</v>
          </cell>
        </row>
        <row r="224">
          <cell r="B224" t="str">
            <v>Período</v>
          </cell>
          <cell r="D224" t="str">
            <v>Turismo</v>
          </cell>
          <cell r="E224" t="str">
            <v>Transferencias</v>
          </cell>
          <cell r="F224" t="str">
            <v>Otros servicios</v>
          </cell>
          <cell r="G224" t="str">
            <v>Servicios</v>
          </cell>
          <cell r="I224" t="str">
            <v>Servicios</v>
          </cell>
          <cell r="N224" t="str">
            <v>Período</v>
          </cell>
          <cell r="P224" t="str">
            <v>Sector</v>
          </cell>
          <cell r="Q224" t="str">
            <v>Inversión</v>
          </cell>
          <cell r="R224" t="str">
            <v>Sector</v>
          </cell>
          <cell r="S224" t="str">
            <v>Operaciones</v>
          </cell>
          <cell r="T224" t="str">
            <v>Financiación</v>
          </cell>
          <cell r="Y224" t="str">
            <v>Período</v>
          </cell>
          <cell r="Z224" t="str">
            <v>Superávit o</v>
          </cell>
          <cell r="AA224" t="str">
            <v xml:space="preserve">  Financiación</v>
          </cell>
          <cell r="AB224" t="str">
            <v>Causaciones</v>
          </cell>
          <cell r="AD224" t="str">
            <v>Var. reservas</v>
          </cell>
        </row>
        <row r="225">
          <cell r="E225" t="str">
            <v>e ingresos</v>
          </cell>
          <cell r="F225" t="str">
            <v>no financieros</v>
          </cell>
          <cell r="G225" t="str">
            <v>financieros</v>
          </cell>
          <cell r="I225" t="str">
            <v>totales</v>
          </cell>
          <cell r="P225" t="str">
            <v>privado¹</v>
          </cell>
          <cell r="Q225" t="str">
            <v>extranjera</v>
          </cell>
          <cell r="R225" t="str">
            <v>oficial¹</v>
          </cell>
          <cell r="S225" t="str">
            <v>especiales²</v>
          </cell>
          <cell r="T225" t="str">
            <v>neta</v>
          </cell>
          <cell r="Z225" t="str">
            <v>déficit en</v>
          </cell>
          <cell r="AA225" t="str">
            <v>neta</v>
          </cell>
          <cell r="AB225" t="str">
            <v>valuac. y prov.</v>
          </cell>
          <cell r="AD225" t="str">
            <v>netas</v>
          </cell>
        </row>
        <row r="226">
          <cell r="E226" t="str">
            <v>personales</v>
          </cell>
          <cell r="Q226" t="str">
            <v>neta</v>
          </cell>
          <cell r="Z226" t="str">
            <v>Cta. Cte.</v>
          </cell>
        </row>
        <row r="227">
          <cell r="C227" t="str">
            <v>Ene/92</v>
          </cell>
          <cell r="D227">
            <v>53575.166666666664</v>
          </cell>
          <cell r="E227">
            <v>131550.16666666666</v>
          </cell>
          <cell r="F227">
            <v>30883.833333333332</v>
          </cell>
          <cell r="G227">
            <v>31412</v>
          </cell>
          <cell r="I227">
            <v>247421.16666666666</v>
          </cell>
          <cell r="O227" t="str">
            <v>Ene/92</v>
          </cell>
          <cell r="P227">
            <v>1068.8333333333528</v>
          </cell>
          <cell r="Q227" t="e">
            <v>#DIV/0!</v>
          </cell>
          <cell r="R227" t="e">
            <v>#DIV/0!</v>
          </cell>
          <cell r="S227" t="e">
            <v>#DIV/0!</v>
          </cell>
          <cell r="T227" t="e">
            <v>#DIV/0!</v>
          </cell>
          <cell r="Y227" t="str">
            <v>Ene/92</v>
          </cell>
          <cell r="Z227" t="e">
            <v>#DIV/0!</v>
          </cell>
          <cell r="AA227" t="e">
            <v>#DIV/0!</v>
          </cell>
          <cell r="AB227" t="e">
            <v>#DIV/0!</v>
          </cell>
          <cell r="AD227" t="e">
            <v>#DIV/0!</v>
          </cell>
        </row>
        <row r="228">
          <cell r="C228" t="str">
            <v>Feb</v>
          </cell>
          <cell r="D228">
            <v>63191.5</v>
          </cell>
          <cell r="E228">
            <v>135052.16666666666</v>
          </cell>
          <cell r="F228">
            <v>33550.5</v>
          </cell>
          <cell r="G228">
            <v>32293.166666666668</v>
          </cell>
          <cell r="I228">
            <v>264087.33333333331</v>
          </cell>
          <cell r="O228" t="str">
            <v>Feb</v>
          </cell>
          <cell r="P228">
            <v>1068.8333333333528</v>
          </cell>
          <cell r="Q228" t="e">
            <v>#DIV/0!</v>
          </cell>
          <cell r="R228" t="e">
            <v>#DIV/0!</v>
          </cell>
          <cell r="S228" t="e">
            <v>#DIV/0!</v>
          </cell>
          <cell r="T228" t="e">
            <v>#DIV/0!</v>
          </cell>
          <cell r="Y228" t="str">
            <v>Feb</v>
          </cell>
          <cell r="Z228" t="e">
            <v>#DIV/0!</v>
          </cell>
          <cell r="AA228" t="e">
            <v>#DIV/0!</v>
          </cell>
          <cell r="AB228" t="e">
            <v>#DIV/0!</v>
          </cell>
          <cell r="AD228" t="e">
            <v>#DIV/0!</v>
          </cell>
        </row>
        <row r="229">
          <cell r="C229" t="str">
            <v>Mar</v>
          </cell>
          <cell r="D229">
            <v>75384.5</v>
          </cell>
          <cell r="E229">
            <v>134736</v>
          </cell>
          <cell r="F229">
            <v>34344.666666666664</v>
          </cell>
          <cell r="G229">
            <v>32894.833333333336</v>
          </cell>
          <cell r="I229">
            <v>277360</v>
          </cell>
          <cell r="O229" t="str">
            <v>Mar</v>
          </cell>
          <cell r="P229">
            <v>1068.8333333333528</v>
          </cell>
          <cell r="Q229" t="e">
            <v>#DIV/0!</v>
          </cell>
          <cell r="R229" t="e">
            <v>#DIV/0!</v>
          </cell>
          <cell r="S229" t="e">
            <v>#DIV/0!</v>
          </cell>
          <cell r="T229" t="e">
            <v>#DIV/0!</v>
          </cell>
          <cell r="Y229" t="str">
            <v>Mar</v>
          </cell>
          <cell r="Z229" t="e">
            <v>#DIV/0!</v>
          </cell>
          <cell r="AA229" t="e">
            <v>#DIV/0!</v>
          </cell>
          <cell r="AB229" t="e">
            <v>#DIV/0!</v>
          </cell>
          <cell r="AD229" t="e">
            <v>#DIV/0!</v>
          </cell>
        </row>
        <row r="230">
          <cell r="C230" t="str">
            <v>Abr</v>
          </cell>
          <cell r="D230">
            <v>77646.166666666672</v>
          </cell>
          <cell r="E230">
            <v>133344.66666666666</v>
          </cell>
          <cell r="F230">
            <v>31694.166666666668</v>
          </cell>
          <cell r="G230">
            <v>30014.666666666668</v>
          </cell>
          <cell r="I230">
            <v>272699.66666666669</v>
          </cell>
          <cell r="O230" t="str">
            <v>Abr</v>
          </cell>
          <cell r="P230">
            <v>1949</v>
          </cell>
          <cell r="Q230" t="e">
            <v>#DIV/0!</v>
          </cell>
          <cell r="R230" t="e">
            <v>#DIV/0!</v>
          </cell>
          <cell r="S230" t="e">
            <v>#DIV/0!</v>
          </cell>
          <cell r="T230" t="e">
            <v>#DIV/0!</v>
          </cell>
          <cell r="Y230" t="str">
            <v>Abr</v>
          </cell>
          <cell r="Z230" t="e">
            <v>#DIV/0!</v>
          </cell>
          <cell r="AA230" t="e">
            <v>#DIV/0!</v>
          </cell>
          <cell r="AB230" t="e">
            <v>#DIV/0!</v>
          </cell>
          <cell r="AD230" t="e">
            <v>#DIV/0!</v>
          </cell>
        </row>
        <row r="231">
          <cell r="C231" t="str">
            <v>May</v>
          </cell>
          <cell r="D231">
            <v>77531.166666666672</v>
          </cell>
          <cell r="E231">
            <v>150378.66666666666</v>
          </cell>
          <cell r="F231">
            <v>32094.833333333332</v>
          </cell>
          <cell r="G231">
            <v>30723.833333333332</v>
          </cell>
          <cell r="I231">
            <v>290728.5</v>
          </cell>
          <cell r="O231" t="str">
            <v>May</v>
          </cell>
          <cell r="P231">
            <v>1366.5</v>
          </cell>
          <cell r="Q231" t="e">
            <v>#DIV/0!</v>
          </cell>
          <cell r="R231" t="e">
            <v>#DIV/0!</v>
          </cell>
          <cell r="S231" t="e">
            <v>#DIV/0!</v>
          </cell>
          <cell r="T231" t="e">
            <v>#DIV/0!</v>
          </cell>
          <cell r="Y231" t="str">
            <v>May</v>
          </cell>
          <cell r="Z231" t="e">
            <v>#DIV/0!</v>
          </cell>
          <cell r="AA231" t="e">
            <v>#DIV/0!</v>
          </cell>
          <cell r="AB231" t="e">
            <v>#DIV/0!</v>
          </cell>
          <cell r="AD231" t="e">
            <v>#DIV/0!</v>
          </cell>
        </row>
        <row r="232">
          <cell r="C232" t="str">
            <v>Jun</v>
          </cell>
          <cell r="D232">
            <v>79363.333333333328</v>
          </cell>
          <cell r="E232">
            <v>161824.33333333334</v>
          </cell>
          <cell r="F232">
            <v>30333.333333333332</v>
          </cell>
          <cell r="G232">
            <v>32161.333333333332</v>
          </cell>
          <cell r="I232">
            <v>303682.33333333331</v>
          </cell>
          <cell r="O232" t="str">
            <v>Jun</v>
          </cell>
          <cell r="P232">
            <v>0</v>
          </cell>
          <cell r="Q232" t="e">
            <v>#DIV/0!</v>
          </cell>
          <cell r="R232" t="e">
            <v>#DIV/0!</v>
          </cell>
          <cell r="S232" t="e">
            <v>#DIV/0!</v>
          </cell>
          <cell r="T232" t="e">
            <v>#DIV/0!</v>
          </cell>
          <cell r="Y232" t="str">
            <v>Jun</v>
          </cell>
          <cell r="Z232" t="e">
            <v>#DIV/0!</v>
          </cell>
          <cell r="AA232" t="e">
            <v>#DIV/0!</v>
          </cell>
          <cell r="AB232" t="e">
            <v>#DIV/0!</v>
          </cell>
          <cell r="AD232" t="e">
            <v>#DIV/0!</v>
          </cell>
        </row>
        <row r="233">
          <cell r="C233" t="str">
            <v>Jul</v>
          </cell>
          <cell r="D233">
            <v>72166</v>
          </cell>
          <cell r="E233">
            <v>161319.16666666666</v>
          </cell>
          <cell r="F233">
            <v>30033.333333333332</v>
          </cell>
          <cell r="G233">
            <v>31772.5</v>
          </cell>
          <cell r="I233">
            <v>295291</v>
          </cell>
          <cell r="O233" t="str">
            <v>Jul</v>
          </cell>
          <cell r="P233">
            <v>0</v>
          </cell>
          <cell r="Q233" t="e">
            <v>#DIV/0!</v>
          </cell>
          <cell r="R233" t="e">
            <v>#DIV/0!</v>
          </cell>
          <cell r="S233" t="e">
            <v>#DIV/0!</v>
          </cell>
          <cell r="T233" t="e">
            <v>#DIV/0!</v>
          </cell>
          <cell r="Y233" t="str">
            <v>Jul</v>
          </cell>
          <cell r="Z233" t="e">
            <v>#DIV/0!</v>
          </cell>
          <cell r="AA233" t="e">
            <v>#DIV/0!</v>
          </cell>
          <cell r="AB233" t="e">
            <v>#DIV/0!</v>
          </cell>
          <cell r="AD233" t="e">
            <v>#DIV/0!</v>
          </cell>
        </row>
        <row r="234">
          <cell r="C234" t="str">
            <v>Ago</v>
          </cell>
          <cell r="D234">
            <v>71177</v>
          </cell>
          <cell r="E234">
            <v>153532.33333333334</v>
          </cell>
          <cell r="F234">
            <v>29366.666666666668</v>
          </cell>
          <cell r="G234">
            <v>31434.666666666668</v>
          </cell>
          <cell r="I234">
            <v>285510.66666666669</v>
          </cell>
          <cell r="O234" t="str">
            <v>Ago</v>
          </cell>
          <cell r="P234">
            <v>0</v>
          </cell>
          <cell r="Q234" t="e">
            <v>#DIV/0!</v>
          </cell>
          <cell r="R234" t="e">
            <v>#DIV/0!</v>
          </cell>
          <cell r="S234" t="e">
            <v>#DIV/0!</v>
          </cell>
          <cell r="T234" t="e">
            <v>#DIV/0!</v>
          </cell>
          <cell r="Y234" t="str">
            <v>Ago</v>
          </cell>
          <cell r="Z234" t="e">
            <v>#DIV/0!</v>
          </cell>
          <cell r="AA234" t="e">
            <v>#DIV/0!</v>
          </cell>
          <cell r="AB234" t="e">
            <v>#DIV/0!</v>
          </cell>
          <cell r="AD234" t="e">
            <v>#DIV/0!</v>
          </cell>
        </row>
        <row r="235">
          <cell r="C235" t="str">
            <v>Sep</v>
          </cell>
          <cell r="D235">
            <v>72581.833333333328</v>
          </cell>
          <cell r="E235">
            <v>143882</v>
          </cell>
          <cell r="F235">
            <v>30783.333333333332</v>
          </cell>
          <cell r="G235">
            <v>31608.333333333332</v>
          </cell>
          <cell r="I235">
            <v>278855.5</v>
          </cell>
          <cell r="O235" t="str">
            <v>Sep</v>
          </cell>
          <cell r="P235">
            <v>0</v>
          </cell>
          <cell r="Q235" t="e">
            <v>#DIV/0!</v>
          </cell>
          <cell r="R235" t="e">
            <v>#DIV/0!</v>
          </cell>
          <cell r="S235" t="e">
            <v>#DIV/0!</v>
          </cell>
          <cell r="T235" t="e">
            <v>#DIV/0!</v>
          </cell>
          <cell r="Y235" t="str">
            <v>Sep</v>
          </cell>
          <cell r="Z235" t="e">
            <v>#DIV/0!</v>
          </cell>
          <cell r="AA235" t="e">
            <v>#DIV/0!</v>
          </cell>
          <cell r="AB235" t="e">
            <v>#DIV/0!</v>
          </cell>
          <cell r="AD235" t="e">
            <v>#DIV/0!</v>
          </cell>
        </row>
        <row r="236">
          <cell r="C236" t="str">
            <v>Oct</v>
          </cell>
          <cell r="D236">
            <v>64417.5</v>
          </cell>
          <cell r="E236">
            <v>132319.66666666666</v>
          </cell>
          <cell r="F236">
            <v>35583.333333333336</v>
          </cell>
          <cell r="G236">
            <v>33916.5</v>
          </cell>
          <cell r="I236">
            <v>266237</v>
          </cell>
          <cell r="O236" t="str">
            <v>Oct</v>
          </cell>
          <cell r="P236">
            <v>0</v>
          </cell>
          <cell r="Q236" t="e">
            <v>#DIV/0!</v>
          </cell>
          <cell r="R236" t="e">
            <v>#DIV/0!</v>
          </cell>
          <cell r="S236" t="e">
            <v>#DIV/0!</v>
          </cell>
          <cell r="T236" t="e">
            <v>#DIV/0!</v>
          </cell>
          <cell r="Y236" t="str">
            <v>Oct</v>
          </cell>
          <cell r="Z236" t="e">
            <v>#DIV/0!</v>
          </cell>
          <cell r="AA236" t="e">
            <v>#DIV/0!</v>
          </cell>
          <cell r="AB236" t="e">
            <v>#DIV/0!</v>
          </cell>
          <cell r="AD236" t="e">
            <v>#DIV/0!</v>
          </cell>
        </row>
        <row r="237">
          <cell r="C237" t="str">
            <v>Nov</v>
          </cell>
          <cell r="D237">
            <v>59785.833333333336</v>
          </cell>
          <cell r="E237">
            <v>114487.16666666667</v>
          </cell>
          <cell r="F237">
            <v>37866.666666666664</v>
          </cell>
          <cell r="G237">
            <v>33924.166666666664</v>
          </cell>
          <cell r="I237">
            <v>246063.83333333334</v>
          </cell>
          <cell r="O237" t="str">
            <v>Nov</v>
          </cell>
          <cell r="P237">
            <v>0</v>
          </cell>
          <cell r="Q237" t="e">
            <v>#DIV/0!</v>
          </cell>
          <cell r="R237" t="e">
            <v>#DIV/0!</v>
          </cell>
          <cell r="S237" t="e">
            <v>#DIV/0!</v>
          </cell>
          <cell r="T237" t="e">
            <v>#DIV/0!</v>
          </cell>
          <cell r="Y237" t="str">
            <v>Nov</v>
          </cell>
          <cell r="Z237" t="e">
            <v>#DIV/0!</v>
          </cell>
          <cell r="AA237" t="e">
            <v>#DIV/0!</v>
          </cell>
          <cell r="AB237" t="e">
            <v>#DIV/0!</v>
          </cell>
          <cell r="AD237" t="e">
            <v>#DIV/0!</v>
          </cell>
        </row>
        <row r="238">
          <cell r="C238" t="str">
            <v>Dic</v>
          </cell>
          <cell r="D238">
            <v>53534.166666666664</v>
          </cell>
          <cell r="E238">
            <v>103653.16666666667</v>
          </cell>
          <cell r="F238">
            <v>39150</v>
          </cell>
          <cell r="G238">
            <v>33813.833333333336</v>
          </cell>
          <cell r="I238">
            <v>230151.16666666666</v>
          </cell>
          <cell r="O238" t="str">
            <v>Dic</v>
          </cell>
          <cell r="P238">
            <v>0</v>
          </cell>
          <cell r="Q238" t="e">
            <v>#DIV/0!</v>
          </cell>
          <cell r="R238" t="e">
            <v>#DIV/0!</v>
          </cell>
          <cell r="S238" t="e">
            <v>#DIV/0!</v>
          </cell>
          <cell r="T238" t="e">
            <v>#DIV/0!</v>
          </cell>
          <cell r="Y238" t="str">
            <v>Dic</v>
          </cell>
          <cell r="Z238" t="e">
            <v>#DIV/0!</v>
          </cell>
          <cell r="AA238" t="e">
            <v>#DIV/0!</v>
          </cell>
          <cell r="AB238" t="e">
            <v>#DIV/0!</v>
          </cell>
          <cell r="AD238" t="e">
            <v>#DIV/0!</v>
          </cell>
        </row>
        <row r="239">
          <cell r="C239" t="str">
            <v>Ene/93</v>
          </cell>
          <cell r="D239">
            <v>48696.541158333333</v>
          </cell>
          <cell r="E239">
            <v>86987.846106666664</v>
          </cell>
          <cell r="F239">
            <v>38816.241943333334</v>
          </cell>
          <cell r="G239">
            <v>29189.576620000003</v>
          </cell>
          <cell r="I239">
            <v>203690.20582833336</v>
          </cell>
          <cell r="O239" t="str">
            <v>Ene/93</v>
          </cell>
          <cell r="P239">
            <v>0</v>
          </cell>
          <cell r="Q239" t="e">
            <v>#DIV/0!</v>
          </cell>
          <cell r="R239" t="e">
            <v>#DIV/0!</v>
          </cell>
          <cell r="S239" t="e">
            <v>#DIV/0!</v>
          </cell>
          <cell r="T239" t="e">
            <v>#DIV/0!</v>
          </cell>
          <cell r="Y239" t="str">
            <v>Ene/93</v>
          </cell>
          <cell r="Z239" t="e">
            <v>#DIV/0!</v>
          </cell>
          <cell r="AA239" t="e">
            <v>#DIV/0!</v>
          </cell>
          <cell r="AB239" t="e">
            <v>#DIV/0!</v>
          </cell>
          <cell r="AD239" t="e">
            <v>#DIV/0!</v>
          </cell>
        </row>
        <row r="240">
          <cell r="C240" t="str">
            <v>Feb</v>
          </cell>
          <cell r="D240">
            <v>45140.366728333327</v>
          </cell>
          <cell r="E240">
            <v>87481.538271666665</v>
          </cell>
          <cell r="F240">
            <v>39711.158636666667</v>
          </cell>
          <cell r="G240">
            <v>27177.332476666666</v>
          </cell>
          <cell r="I240">
            <v>199510.39611333332</v>
          </cell>
          <cell r="O240" t="str">
            <v>Feb</v>
          </cell>
          <cell r="P240">
            <v>0</v>
          </cell>
          <cell r="Q240" t="e">
            <v>#DIV/0!</v>
          </cell>
          <cell r="R240" t="e">
            <v>#DIV/0!</v>
          </cell>
          <cell r="S240" t="e">
            <v>#DIV/0!</v>
          </cell>
          <cell r="T240" t="e">
            <v>#DIV/0!</v>
          </cell>
          <cell r="Y240" t="str">
            <v>Feb</v>
          </cell>
          <cell r="Z240" t="e">
            <v>#DIV/0!</v>
          </cell>
          <cell r="AA240" t="e">
            <v>#DIV/0!</v>
          </cell>
          <cell r="AB240" t="e">
            <v>#DIV/0!</v>
          </cell>
          <cell r="AD240" t="e">
            <v>#DIV/0!</v>
          </cell>
        </row>
        <row r="241">
          <cell r="C241" t="str">
            <v>Mar</v>
          </cell>
          <cell r="D241">
            <v>40068.53719333333</v>
          </cell>
          <cell r="E241">
            <v>85784.654876666653</v>
          </cell>
          <cell r="F241">
            <v>41147.758826666664</v>
          </cell>
          <cell r="G241">
            <v>25345.396884999998</v>
          </cell>
          <cell r="I241">
            <v>192346.34778166667</v>
          </cell>
          <cell r="O241" t="str">
            <v>Mar</v>
          </cell>
          <cell r="P241">
            <v>0</v>
          </cell>
          <cell r="Q241" t="e">
            <v>#DIV/0!</v>
          </cell>
          <cell r="R241" t="e">
            <v>#DIV/0!</v>
          </cell>
          <cell r="S241" t="e">
            <v>#DIV/0!</v>
          </cell>
          <cell r="T241" t="e">
            <v>#DIV/0!</v>
          </cell>
          <cell r="Y241" t="str">
            <v>Mar</v>
          </cell>
          <cell r="Z241" t="e">
            <v>#DIV/0!</v>
          </cell>
          <cell r="AA241" t="e">
            <v>#DIV/0!</v>
          </cell>
          <cell r="AB241" t="e">
            <v>#DIV/0!</v>
          </cell>
          <cell r="AD241" t="e">
            <v>#DIV/0!</v>
          </cell>
        </row>
        <row r="242">
          <cell r="C242" t="str">
            <v>Abr</v>
          </cell>
          <cell r="D242">
            <v>45275.376645000004</v>
          </cell>
          <cell r="E242">
            <v>91742.40879833333</v>
          </cell>
          <cell r="F242">
            <v>38254.559215000001</v>
          </cell>
          <cell r="G242">
            <v>23844.748673333335</v>
          </cell>
          <cell r="I242">
            <v>199117.09333166666</v>
          </cell>
          <cell r="O242" t="str">
            <v>Abr</v>
          </cell>
          <cell r="P242">
            <v>0</v>
          </cell>
          <cell r="Q242" t="e">
            <v>#DIV/0!</v>
          </cell>
          <cell r="R242" t="e">
            <v>#DIV/0!</v>
          </cell>
          <cell r="S242" t="e">
            <v>#DIV/0!</v>
          </cell>
          <cell r="T242" t="e">
            <v>#DIV/0!</v>
          </cell>
          <cell r="Y242" t="str">
            <v>Abr</v>
          </cell>
          <cell r="Z242" t="e">
            <v>#DIV/0!</v>
          </cell>
          <cell r="AA242" t="e">
            <v>#DIV/0!</v>
          </cell>
          <cell r="AB242" t="e">
            <v>#DIV/0!</v>
          </cell>
          <cell r="AD242" t="e">
            <v>#DIV/0!</v>
          </cell>
        </row>
        <row r="243">
          <cell r="C243" t="str">
            <v>May</v>
          </cell>
          <cell r="D243">
            <v>53336.531638333334</v>
          </cell>
          <cell r="E243">
            <v>106075.44597</v>
          </cell>
          <cell r="F243">
            <v>39708.389415000005</v>
          </cell>
          <cell r="G243">
            <v>26367.805359999998</v>
          </cell>
          <cell r="I243">
            <v>225488.17238333332</v>
          </cell>
          <cell r="O243" t="str">
            <v>May</v>
          </cell>
          <cell r="P243">
            <v>0</v>
          </cell>
          <cell r="Q243" t="e">
            <v>#DIV/0!</v>
          </cell>
          <cell r="R243" t="e">
            <v>#DIV/0!</v>
          </cell>
          <cell r="S243" t="e">
            <v>#DIV/0!</v>
          </cell>
          <cell r="T243" t="e">
            <v>#DIV/0!</v>
          </cell>
          <cell r="Y243" t="str">
            <v>May</v>
          </cell>
          <cell r="Z243" t="e">
            <v>#DIV/0!</v>
          </cell>
          <cell r="AA243" t="e">
            <v>#DIV/0!</v>
          </cell>
          <cell r="AB243" t="e">
            <v>#DIV/0!</v>
          </cell>
          <cell r="AD243" t="e">
            <v>#DIV/0!</v>
          </cell>
        </row>
        <row r="244">
          <cell r="C244" t="str">
            <v>Jun</v>
          </cell>
          <cell r="D244">
            <v>60823.431783333333</v>
          </cell>
          <cell r="E244">
            <v>118388.17709000001</v>
          </cell>
          <cell r="F244">
            <v>46752.194970000004</v>
          </cell>
          <cell r="G244">
            <v>33258.421918333333</v>
          </cell>
          <cell r="I244">
            <v>259222.22576166666</v>
          </cell>
          <cell r="O244" t="str">
            <v>Jun</v>
          </cell>
          <cell r="P244">
            <v>0</v>
          </cell>
          <cell r="Q244" t="e">
            <v>#DIV/0!</v>
          </cell>
          <cell r="R244" t="e">
            <v>#DIV/0!</v>
          </cell>
          <cell r="S244" t="e">
            <v>#DIV/0!</v>
          </cell>
          <cell r="T244" t="e">
            <v>#DIV/0!</v>
          </cell>
          <cell r="Y244" t="str">
            <v>Jun</v>
          </cell>
          <cell r="Z244" t="e">
            <v>#DIV/0!</v>
          </cell>
          <cell r="AA244" t="e">
            <v>#DIV/0!</v>
          </cell>
          <cell r="AB244" t="e">
            <v>#DIV/0!</v>
          </cell>
          <cell r="AD244" t="e">
            <v>#DIV/0!</v>
          </cell>
        </row>
        <row r="245">
          <cell r="C245" t="str">
            <v>Jul</v>
          </cell>
          <cell r="D245">
            <v>65714.304956666674</v>
          </cell>
          <cell r="E245">
            <v>126018.70792999999</v>
          </cell>
          <cell r="F245">
            <v>51454.070314999997</v>
          </cell>
          <cell r="G245">
            <v>40816.15426166667</v>
          </cell>
          <cell r="I245">
            <v>284003.23746333335</v>
          </cell>
          <cell r="O245" t="str">
            <v>Jul</v>
          </cell>
          <cell r="P245">
            <v>0</v>
          </cell>
          <cell r="Q245" t="e">
            <v>#DIV/0!</v>
          </cell>
          <cell r="R245" t="e">
            <v>#DIV/0!</v>
          </cell>
          <cell r="S245" t="e">
            <v>#DIV/0!</v>
          </cell>
          <cell r="T245" t="e">
            <v>#DIV/0!</v>
          </cell>
          <cell r="Y245" t="str">
            <v>Jul</v>
          </cell>
          <cell r="Z245" t="e">
            <v>#DIV/0!</v>
          </cell>
          <cell r="AA245" t="e">
            <v>#DIV/0!</v>
          </cell>
          <cell r="AB245" t="e">
            <v>#DIV/0!</v>
          </cell>
          <cell r="AD245" t="e">
            <v>#DIV/0!</v>
          </cell>
        </row>
        <row r="246">
          <cell r="C246" t="str">
            <v>Ago</v>
          </cell>
          <cell r="D246">
            <v>71374.643116666673</v>
          </cell>
          <cell r="E246">
            <v>125482.09617166668</v>
          </cell>
          <cell r="F246">
            <v>52720.997736666664</v>
          </cell>
          <cell r="G246">
            <v>49508.68894</v>
          </cell>
          <cell r="I246">
            <v>299086.425965</v>
          </cell>
          <cell r="O246" t="str">
            <v>Ago</v>
          </cell>
          <cell r="P246">
            <v>0</v>
          </cell>
          <cell r="Q246" t="e">
            <v>#DIV/0!</v>
          </cell>
          <cell r="R246" t="e">
            <v>#DIV/0!</v>
          </cell>
          <cell r="S246" t="e">
            <v>#DIV/0!</v>
          </cell>
          <cell r="T246" t="e">
            <v>#DIV/0!</v>
          </cell>
          <cell r="Y246" t="str">
            <v>Ago</v>
          </cell>
          <cell r="Z246" t="e">
            <v>#DIV/0!</v>
          </cell>
          <cell r="AA246" t="e">
            <v>#DIV/0!</v>
          </cell>
          <cell r="AB246" t="e">
            <v>#DIV/0!</v>
          </cell>
          <cell r="AD246" t="e">
            <v>#DIV/0!</v>
          </cell>
        </row>
        <row r="247">
          <cell r="C247" t="str">
            <v>Sep</v>
          </cell>
          <cell r="D247">
            <v>70764.136860000013</v>
          </cell>
          <cell r="E247">
            <v>125592.09401</v>
          </cell>
          <cell r="F247">
            <v>52830.42791166668</v>
          </cell>
          <cell r="G247">
            <v>54990.579549999995</v>
          </cell>
          <cell r="I247">
            <v>304177.23833166668</v>
          </cell>
          <cell r="O247" t="str">
            <v>Sep</v>
          </cell>
          <cell r="P247">
            <v>0</v>
          </cell>
          <cell r="Q247" t="e">
            <v>#DIV/0!</v>
          </cell>
          <cell r="R247" t="e">
            <v>#DIV/0!</v>
          </cell>
          <cell r="S247" t="e">
            <v>#DIV/0!</v>
          </cell>
          <cell r="T247" t="e">
            <v>#DIV/0!</v>
          </cell>
          <cell r="Y247" t="str">
            <v>Sep</v>
          </cell>
          <cell r="Z247" t="e">
            <v>#DIV/0!</v>
          </cell>
          <cell r="AA247" t="e">
            <v>#DIV/0!</v>
          </cell>
          <cell r="AB247" t="e">
            <v>#DIV/0!</v>
          </cell>
          <cell r="AD247" t="e">
            <v>#DIV/0!</v>
          </cell>
        </row>
        <row r="248">
          <cell r="C248" t="str">
            <v>Oct*</v>
          </cell>
          <cell r="D248">
            <v>69398.446473333344</v>
          </cell>
          <cell r="E248">
            <v>114208.93174499999</v>
          </cell>
          <cell r="F248">
            <v>55363.891340000002</v>
          </cell>
          <cell r="G248">
            <v>59820.276210000004</v>
          </cell>
          <cell r="I248">
            <v>298791.54576833331</v>
          </cell>
          <cell r="O248" t="str">
            <v>Oct*</v>
          </cell>
          <cell r="P248">
            <v>0</v>
          </cell>
          <cell r="Q248" t="e">
            <v>#DIV/0!</v>
          </cell>
          <cell r="R248" t="e">
            <v>#DIV/0!</v>
          </cell>
          <cell r="S248" t="e">
            <v>#DIV/0!</v>
          </cell>
          <cell r="T248" t="e">
            <v>#DIV/0!</v>
          </cell>
          <cell r="Y248" t="str">
            <v>Oct*</v>
          </cell>
          <cell r="Z248" t="e">
            <v>#DIV/0!</v>
          </cell>
          <cell r="AA248" t="e">
            <v>#DIV/0!</v>
          </cell>
          <cell r="AB248" t="e">
            <v>#DIV/0!</v>
          </cell>
          <cell r="AD248" t="e">
            <v>#DIV/0!</v>
          </cell>
        </row>
        <row r="249">
          <cell r="C249" t="str">
            <v>Nov*</v>
          </cell>
          <cell r="D249">
            <v>68060.369083333338</v>
          </cell>
          <cell r="E249">
            <v>96195.481076666663</v>
          </cell>
          <cell r="F249">
            <v>54760.679378333327</v>
          </cell>
          <cell r="G249">
            <v>58777.430366666667</v>
          </cell>
          <cell r="I249">
            <v>277793.959905</v>
          </cell>
          <cell r="O249" t="str">
            <v>Nov*</v>
          </cell>
          <cell r="P249">
            <v>0</v>
          </cell>
          <cell r="Q249" t="e">
            <v>#DIV/0!</v>
          </cell>
          <cell r="R249" t="e">
            <v>#DIV/0!</v>
          </cell>
          <cell r="S249" t="e">
            <v>#DIV/0!</v>
          </cell>
          <cell r="T249" t="e">
            <v>#DIV/0!</v>
          </cell>
          <cell r="Y249" t="str">
            <v>Nov*</v>
          </cell>
          <cell r="Z249" t="e">
            <v>#DIV/0!</v>
          </cell>
          <cell r="AA249" t="e">
            <v>#DIV/0!</v>
          </cell>
          <cell r="AB249" t="e">
            <v>#DIV/0!</v>
          </cell>
          <cell r="AD249" t="e">
            <v>#DIV/0!</v>
          </cell>
        </row>
        <row r="250">
          <cell r="C250" t="str">
            <v>Dic*</v>
          </cell>
          <cell r="D250">
            <v>61571.865801666667</v>
          </cell>
          <cell r="E250">
            <v>73784.425969999997</v>
          </cell>
          <cell r="F250">
            <v>57175.442533333342</v>
          </cell>
          <cell r="G250">
            <v>54967.46452666667</v>
          </cell>
          <cell r="I250">
            <v>247499.1988316667</v>
          </cell>
          <cell r="O250" t="str">
            <v>Dic*</v>
          </cell>
          <cell r="P250">
            <v>0</v>
          </cell>
          <cell r="Q250" t="e">
            <v>#DIV/0!</v>
          </cell>
          <cell r="R250" t="e">
            <v>#DIV/0!</v>
          </cell>
          <cell r="S250" t="e">
            <v>#DIV/0!</v>
          </cell>
          <cell r="T250" t="e">
            <v>#DIV/0!</v>
          </cell>
          <cell r="Y250" t="str">
            <v>Dic*</v>
          </cell>
          <cell r="Z250" t="e">
            <v>#DIV/0!</v>
          </cell>
          <cell r="AA250" t="e">
            <v>#DIV/0!</v>
          </cell>
          <cell r="AB250" t="e">
            <v>#DIV/0!</v>
          </cell>
          <cell r="AD250" t="e">
            <v>#DIV/0!</v>
          </cell>
        </row>
        <row r="251">
          <cell r="B251">
            <v>1994</v>
          </cell>
          <cell r="C251" t="str">
            <v>Ene</v>
          </cell>
          <cell r="D251">
            <v>58349.035449999996</v>
          </cell>
          <cell r="E251">
            <v>67741.529381666667</v>
          </cell>
          <cell r="F251">
            <v>63115.775935000005</v>
          </cell>
          <cell r="G251">
            <v>48349.114938333332</v>
          </cell>
          <cell r="I251">
            <v>237555.455705</v>
          </cell>
          <cell r="N251">
            <v>1994</v>
          </cell>
          <cell r="O251" t="str">
            <v>Ene</v>
          </cell>
          <cell r="P251">
            <v>106516.19357166666</v>
          </cell>
          <cell r="Q251">
            <v>38967.064376666669</v>
          </cell>
          <cell r="R251">
            <v>-65959.74559333334</v>
          </cell>
          <cell r="S251">
            <v>18315.784741666666</v>
          </cell>
          <cell r="T251">
            <v>97839.297096666691</v>
          </cell>
          <cell r="X251">
            <v>1994</v>
          </cell>
          <cell r="Y251" t="str">
            <v>Ene</v>
          </cell>
          <cell r="Z251">
            <v>-121754.46694499999</v>
          </cell>
          <cell r="AA251">
            <v>97839.297096666691</v>
          </cell>
          <cell r="AB251">
            <v>-19295.807733333331</v>
          </cell>
          <cell r="AD251">
            <v>-43210.977581666659</v>
          </cell>
        </row>
        <row r="252">
          <cell r="C252" t="str">
            <v>Feb</v>
          </cell>
          <cell r="D252">
            <v>56637.016328333331</v>
          </cell>
          <cell r="E252">
            <v>64571.616623333342</v>
          </cell>
          <cell r="F252">
            <v>68315.628051666659</v>
          </cell>
          <cell r="G252">
            <v>41153.566006666668</v>
          </cell>
          <cell r="I252">
            <v>230677.82701000001</v>
          </cell>
          <cell r="O252" t="str">
            <v>Feb</v>
          </cell>
          <cell r="P252">
            <v>108872.30456833332</v>
          </cell>
          <cell r="Q252">
            <v>42487.985388333334</v>
          </cell>
          <cell r="R252">
            <v>-75215.16164333334</v>
          </cell>
          <cell r="S252">
            <v>-7943.4424633333338</v>
          </cell>
          <cell r="T252">
            <v>68201.685849999994</v>
          </cell>
          <cell r="Y252" t="str">
            <v>Feb</v>
          </cell>
          <cell r="Z252">
            <v>-89236.291058333314</v>
          </cell>
          <cell r="AA252">
            <v>68201.685849999994</v>
          </cell>
          <cell r="AB252">
            <v>-22316.922465</v>
          </cell>
          <cell r="AD252">
            <v>-43351.527673333323</v>
          </cell>
        </row>
        <row r="253">
          <cell r="C253" t="str">
            <v>Mar</v>
          </cell>
          <cell r="D253">
            <v>58656.667476666662</v>
          </cell>
          <cell r="E253">
            <v>59040.84837166666</v>
          </cell>
          <cell r="F253">
            <v>85058.357966666677</v>
          </cell>
          <cell r="G253">
            <v>37059.965403333335</v>
          </cell>
          <cell r="I253">
            <v>239815.83921833328</v>
          </cell>
          <cell r="O253" t="str">
            <v>Mar</v>
          </cell>
          <cell r="P253">
            <v>125762.47433833331</v>
          </cell>
          <cell r="Q253">
            <v>34338.802599999995</v>
          </cell>
          <cell r="R253">
            <v>-84411.477709999992</v>
          </cell>
          <cell r="S253">
            <v>-34194.880753333338</v>
          </cell>
          <cell r="T253">
            <v>41494.918475000006</v>
          </cell>
          <cell r="Y253" t="str">
            <v>Mar</v>
          </cell>
          <cell r="Z253">
            <v>-62593.095219999996</v>
          </cell>
          <cell r="AA253">
            <v>41494.918475000006</v>
          </cell>
          <cell r="AB253">
            <v>-25967.200200000003</v>
          </cell>
          <cell r="AD253">
            <v>-47065.376945000004</v>
          </cell>
        </row>
        <row r="254">
          <cell r="C254" t="str">
            <v>Abr</v>
          </cell>
          <cell r="D254">
            <v>62545.59262166667</v>
          </cell>
          <cell r="E254">
            <v>62169.325461666675</v>
          </cell>
          <cell r="F254">
            <v>88496.75539666666</v>
          </cell>
          <cell r="G254">
            <v>32130.182066666664</v>
          </cell>
          <cell r="I254">
            <v>245341.85554666666</v>
          </cell>
          <cell r="O254" t="str">
            <v>Abr</v>
          </cell>
          <cell r="P254">
            <v>117338.25133166664</v>
          </cell>
          <cell r="Q254">
            <v>25211.435103333333</v>
          </cell>
          <cell r="R254">
            <v>-47274.777338333341</v>
          </cell>
          <cell r="S254">
            <v>-12705.555399999999</v>
          </cell>
          <cell r="T254">
            <v>82569.353696666672</v>
          </cell>
          <cell r="Y254" t="str">
            <v>Abr</v>
          </cell>
          <cell r="Z254">
            <v>-81881.771136666663</v>
          </cell>
          <cell r="AA254">
            <v>82569.353696666672</v>
          </cell>
          <cell r="AB254">
            <v>-10027.524211666669</v>
          </cell>
          <cell r="AD254">
            <v>-9339.9416516666624</v>
          </cell>
        </row>
        <row r="255">
          <cell r="C255" t="str">
            <v>May</v>
          </cell>
          <cell r="D255">
            <v>65159.472663333327</v>
          </cell>
          <cell r="E255">
            <v>64569.760058333333</v>
          </cell>
          <cell r="F255">
            <v>93306.480348333323</v>
          </cell>
          <cell r="G255">
            <v>33315.968985</v>
          </cell>
          <cell r="I255">
            <v>256351.68205500001</v>
          </cell>
          <cell r="O255" t="str">
            <v>May</v>
          </cell>
          <cell r="P255">
            <v>108251.53574499999</v>
          </cell>
          <cell r="Q255">
            <v>23994.472409999998</v>
          </cell>
          <cell r="R255">
            <v>-30403.066131666663</v>
          </cell>
          <cell r="S255">
            <v>-22370.669833333333</v>
          </cell>
          <cell r="T255">
            <v>79472.272190000003</v>
          </cell>
          <cell r="Y255" t="str">
            <v>May</v>
          </cell>
          <cell r="Z255">
            <v>-78192.569258333344</v>
          </cell>
          <cell r="AA255">
            <v>79472.272190000003</v>
          </cell>
          <cell r="AB255">
            <v>-5223.3364166666679</v>
          </cell>
          <cell r="AD255">
            <v>-3943.6334849999985</v>
          </cell>
        </row>
        <row r="256">
          <cell r="C256" t="str">
            <v>Jun</v>
          </cell>
          <cell r="D256">
            <v>63612.135671666671</v>
          </cell>
          <cell r="E256">
            <v>66451.889329999991</v>
          </cell>
          <cell r="F256">
            <v>92258.210493333347</v>
          </cell>
          <cell r="G256">
            <v>31022.114653333334</v>
          </cell>
          <cell r="I256">
            <v>253344.35014833335</v>
          </cell>
          <cell r="O256" t="str">
            <v>Jun</v>
          </cell>
          <cell r="P256">
            <v>83137.047623333332</v>
          </cell>
          <cell r="Q256">
            <v>26546.172053333332</v>
          </cell>
          <cell r="R256">
            <v>4112.0160116666666</v>
          </cell>
          <cell r="S256">
            <v>-30253.999240000005</v>
          </cell>
          <cell r="T256">
            <v>83541.236448333337</v>
          </cell>
          <cell r="Y256" t="str">
            <v>Jun</v>
          </cell>
          <cell r="Z256">
            <v>-86862.197183333337</v>
          </cell>
          <cell r="AA256">
            <v>83541.236448333337</v>
          </cell>
          <cell r="AB256">
            <v>23268.030233333335</v>
          </cell>
          <cell r="AD256">
            <v>19947.069498333334</v>
          </cell>
        </row>
        <row r="257">
          <cell r="C257" t="str">
            <v>Jul</v>
          </cell>
          <cell r="D257">
            <v>59362.172193333332</v>
          </cell>
          <cell r="E257">
            <v>65389.821248333341</v>
          </cell>
          <cell r="F257">
            <v>93838.148700000005</v>
          </cell>
          <cell r="G257">
            <v>36153.48298666667</v>
          </cell>
          <cell r="I257">
            <v>254743.62512833334</v>
          </cell>
          <cell r="O257" t="str">
            <v>Jul</v>
          </cell>
          <cell r="P257">
            <v>76260.61198833333</v>
          </cell>
          <cell r="Q257">
            <v>33496.682581666668</v>
          </cell>
          <cell r="R257">
            <v>-824.09997000000033</v>
          </cell>
          <cell r="S257">
            <v>-17223.362268333338</v>
          </cell>
          <cell r="T257">
            <v>91709.832331666665</v>
          </cell>
          <cell r="Y257" t="str">
            <v>Jul</v>
          </cell>
          <cell r="Z257">
            <v>-112290.76488666667</v>
          </cell>
          <cell r="AA257">
            <v>91709.832331666665</v>
          </cell>
          <cell r="AB257">
            <v>16903.020269999997</v>
          </cell>
          <cell r="AD257">
            <v>-3677.9122850000058</v>
          </cell>
        </row>
        <row r="258">
          <cell r="C258" t="str">
            <v>Ago</v>
          </cell>
          <cell r="D258">
            <v>56434.245640000001</v>
          </cell>
          <cell r="E258">
            <v>69540.038354999997</v>
          </cell>
          <cell r="F258">
            <v>101506.33681000001</v>
          </cell>
          <cell r="G258">
            <v>40789.878321666663</v>
          </cell>
          <cell r="I258">
            <v>268270.49912666669</v>
          </cell>
          <cell r="O258" t="str">
            <v>Ago</v>
          </cell>
          <cell r="P258">
            <v>95170.71348166668</v>
          </cell>
          <cell r="Q258">
            <v>34527.308375000001</v>
          </cell>
          <cell r="R258">
            <v>-7191.8696683333328</v>
          </cell>
          <cell r="S258">
            <v>9792.9037749999989</v>
          </cell>
          <cell r="T258">
            <v>132299.05596333335</v>
          </cell>
          <cell r="Y258" t="str">
            <v>Ago</v>
          </cell>
          <cell r="Z258">
            <v>-157826.24514666668</v>
          </cell>
          <cell r="AA258">
            <v>132299.05596333335</v>
          </cell>
          <cell r="AB258">
            <v>7216.666666666667</v>
          </cell>
          <cell r="AD258">
            <v>-18310.522516666668</v>
          </cell>
        </row>
        <row r="259">
          <cell r="C259" t="str">
            <v>Sep</v>
          </cell>
          <cell r="D259">
            <v>52616.053331666662</v>
          </cell>
          <cell r="E259">
            <v>74353.97954</v>
          </cell>
          <cell r="F259">
            <v>102401.84338333334</v>
          </cell>
          <cell r="G259">
            <v>43751.696980000001</v>
          </cell>
          <cell r="I259">
            <v>273123.57323499996</v>
          </cell>
          <cell r="O259" t="str">
            <v>Sep</v>
          </cell>
          <cell r="P259">
            <v>109634.292875</v>
          </cell>
          <cell r="Q259">
            <v>41253.781065000003</v>
          </cell>
          <cell r="R259">
            <v>-43261.611626666665</v>
          </cell>
          <cell r="S259">
            <v>9086.0464300000003</v>
          </cell>
          <cell r="T259">
            <v>116712.50874333334</v>
          </cell>
          <cell r="Y259" t="str">
            <v>Sep</v>
          </cell>
          <cell r="Z259">
            <v>-183936.51437666666</v>
          </cell>
          <cell r="AA259">
            <v>116712.50874333334</v>
          </cell>
          <cell r="AB259">
            <v>7950</v>
          </cell>
          <cell r="AD259">
            <v>-59274.005633333327</v>
          </cell>
        </row>
        <row r="260">
          <cell r="C260" t="str">
            <v>Oct</v>
          </cell>
          <cell r="D260">
            <v>48521.692751666669</v>
          </cell>
          <cell r="E260">
            <v>74668.632556666664</v>
          </cell>
          <cell r="F260">
            <v>108018.04339166667</v>
          </cell>
          <cell r="G260">
            <v>48727.61737166666</v>
          </cell>
          <cell r="I260">
            <v>279935.98607166664</v>
          </cell>
          <cell r="O260" t="str">
            <v>Oct</v>
          </cell>
          <cell r="P260">
            <v>130613.50224166666</v>
          </cell>
          <cell r="Q260">
            <v>49401.140378333337</v>
          </cell>
          <cell r="R260">
            <v>44973.751049999999</v>
          </cell>
          <cell r="S260">
            <v>-61334.373530000004</v>
          </cell>
          <cell r="T260">
            <v>163654.02014000001</v>
          </cell>
          <cell r="Y260" t="str">
            <v>Oct</v>
          </cell>
          <cell r="Z260">
            <v>-194298.62795166668</v>
          </cell>
          <cell r="AA260">
            <v>163654.02014000001</v>
          </cell>
          <cell r="AB260">
            <v>15800</v>
          </cell>
          <cell r="AD260">
            <v>-14844.607811666663</v>
          </cell>
        </row>
        <row r="261">
          <cell r="C261" t="str">
            <v>Nov</v>
          </cell>
          <cell r="D261">
            <v>41630.915591666664</v>
          </cell>
          <cell r="E261">
            <v>73858.784513333332</v>
          </cell>
          <cell r="F261">
            <v>116605.72360999999</v>
          </cell>
          <cell r="G261">
            <v>46793.827778333332</v>
          </cell>
          <cell r="I261">
            <v>278889.25149333332</v>
          </cell>
          <cell r="O261" t="str">
            <v>Nov</v>
          </cell>
          <cell r="P261">
            <v>155722.21115333334</v>
          </cell>
          <cell r="Q261">
            <v>53982.982596666669</v>
          </cell>
          <cell r="R261">
            <v>-40036.119319999991</v>
          </cell>
          <cell r="S261">
            <v>15956.107431666664</v>
          </cell>
          <cell r="T261">
            <v>185625.18186166664</v>
          </cell>
          <cell r="Y261" t="str">
            <v>Nov</v>
          </cell>
          <cell r="Z261">
            <v>-209936.46908666668</v>
          </cell>
          <cell r="AA261">
            <v>185625.18186166664</v>
          </cell>
          <cell r="AB261">
            <v>4083.3333333333335</v>
          </cell>
          <cell r="AD261">
            <v>-20227.953891666668</v>
          </cell>
        </row>
        <row r="262">
          <cell r="C262" t="str">
            <v>Dic</v>
          </cell>
          <cell r="D262">
            <v>44110.979834999998</v>
          </cell>
          <cell r="E262">
            <v>72722.831566666675</v>
          </cell>
          <cell r="F262">
            <v>128095.36996166669</v>
          </cell>
          <cell r="G262">
            <v>45680.598819999992</v>
          </cell>
          <cell r="I262">
            <v>290609.78018333332</v>
          </cell>
          <cell r="O262" t="str">
            <v>Dic</v>
          </cell>
          <cell r="P262">
            <v>219977.88587500001</v>
          </cell>
          <cell r="Q262">
            <v>75161.721594999995</v>
          </cell>
          <cell r="R262">
            <v>-36972.946053333326</v>
          </cell>
          <cell r="S262">
            <v>-1204.3734000000029</v>
          </cell>
          <cell r="T262">
            <v>256962.28801666666</v>
          </cell>
          <cell r="Y262" t="str">
            <v>Dic</v>
          </cell>
          <cell r="Z262">
            <v>-232255.82140666666</v>
          </cell>
          <cell r="AA262">
            <v>256962.28801666666</v>
          </cell>
          <cell r="AB262">
            <v>-22434.696899999999</v>
          </cell>
          <cell r="AD262">
            <v>2271.7697100000078</v>
          </cell>
        </row>
        <row r="263">
          <cell r="B263">
            <v>1995</v>
          </cell>
          <cell r="C263" t="str">
            <v>Ene</v>
          </cell>
          <cell r="D263">
            <v>46594.569128333329</v>
          </cell>
          <cell r="E263">
            <v>74311.091941666658</v>
          </cell>
          <cell r="F263">
            <v>133067.40552333332</v>
          </cell>
          <cell r="G263">
            <v>43075.169231666659</v>
          </cell>
          <cell r="I263">
            <v>297048.23582499998</v>
          </cell>
          <cell r="N263">
            <v>1995</v>
          </cell>
          <cell r="O263" t="str">
            <v>Ene</v>
          </cell>
          <cell r="P263">
            <v>234306.49730999998</v>
          </cell>
          <cell r="Q263">
            <v>75555.823528333334</v>
          </cell>
          <cell r="R263">
            <v>-33940.108138333322</v>
          </cell>
          <cell r="S263">
            <v>15971.469953217116</v>
          </cell>
          <cell r="T263">
            <v>291893.68265321711</v>
          </cell>
          <cell r="X263">
            <v>1995</v>
          </cell>
          <cell r="Y263" t="str">
            <v>Ene</v>
          </cell>
          <cell r="Z263">
            <v>-285668.39259999996</v>
          </cell>
          <cell r="AA263">
            <v>291893.68265321711</v>
          </cell>
          <cell r="AB263">
            <v>-8968.0302333333329</v>
          </cell>
          <cell r="AD263">
            <v>-2742.7401801161955</v>
          </cell>
        </row>
        <row r="264">
          <cell r="C264" t="str">
            <v>Feb</v>
          </cell>
          <cell r="D264">
            <v>45181.811353333331</v>
          </cell>
          <cell r="E264">
            <v>73839.004549999998</v>
          </cell>
          <cell r="F264">
            <v>132141.37830499999</v>
          </cell>
          <cell r="G264">
            <v>43940.734828333334</v>
          </cell>
          <cell r="I264">
            <v>295102.9290366667</v>
          </cell>
          <cell r="O264" t="str">
            <v>Feb</v>
          </cell>
          <cell r="P264">
            <v>232555.84289500001</v>
          </cell>
          <cell r="Q264">
            <v>59980.314923333332</v>
          </cell>
          <cell r="R264">
            <v>-23820.831203333324</v>
          </cell>
          <cell r="S264">
            <v>17687.671036832413</v>
          </cell>
          <cell r="T264">
            <v>286402.99765183241</v>
          </cell>
          <cell r="Y264" t="str">
            <v>Feb</v>
          </cell>
          <cell r="Z264">
            <v>-276374.99854999996</v>
          </cell>
          <cell r="AA264">
            <v>286402.99765183241</v>
          </cell>
          <cell r="AB264">
            <v>8581.9697666666671</v>
          </cell>
          <cell r="AD264">
            <v>18609.968868499087</v>
          </cell>
        </row>
        <row r="265">
          <cell r="C265" t="str">
            <v>Mar</v>
          </cell>
          <cell r="D265">
            <v>43358.896726666666</v>
          </cell>
          <cell r="E265">
            <v>72928.632433333332</v>
          </cell>
          <cell r="F265">
            <v>125852.31578833335</v>
          </cell>
          <cell r="G265">
            <v>53452.733808333323</v>
          </cell>
          <cell r="I265">
            <v>295592.57875666668</v>
          </cell>
          <cell r="O265" t="str">
            <v>Mar</v>
          </cell>
          <cell r="P265">
            <v>206857.66686166663</v>
          </cell>
          <cell r="Q265">
            <v>56729.641383333335</v>
          </cell>
          <cell r="R265">
            <v>27129.266516666674</v>
          </cell>
          <cell r="S265">
            <v>35292.60637873083</v>
          </cell>
          <cell r="T265">
            <v>326009.1811403975</v>
          </cell>
          <cell r="Y265" t="str">
            <v>Mar</v>
          </cell>
          <cell r="Z265">
            <v>-273488.12332166662</v>
          </cell>
          <cell r="AA265">
            <v>326009.1811403975</v>
          </cell>
          <cell r="AB265">
            <v>37231.969766666669</v>
          </cell>
          <cell r="AD265">
            <v>89753.027585397518</v>
          </cell>
        </row>
        <row r="266">
          <cell r="C266" t="str">
            <v>Abr</v>
          </cell>
          <cell r="D266">
            <v>46973.48002333333</v>
          </cell>
          <cell r="E266">
            <v>71373.097086666661</v>
          </cell>
          <cell r="F266">
            <v>120280.56668666667</v>
          </cell>
          <cell r="G266">
            <v>53362.460504999995</v>
          </cell>
          <cell r="I266">
            <v>291989.60430166667</v>
          </cell>
          <cell r="O266" t="str">
            <v>Abr</v>
          </cell>
          <cell r="P266">
            <v>187293.51474166664</v>
          </cell>
          <cell r="Q266">
            <v>63020.656968333329</v>
          </cell>
          <cell r="R266">
            <v>-19732.670474999988</v>
          </cell>
          <cell r="S266">
            <v>109186.36106986465</v>
          </cell>
          <cell r="T266">
            <v>339767.86230486468</v>
          </cell>
          <cell r="Y266" t="str">
            <v>Abr</v>
          </cell>
          <cell r="Z266">
            <v>-267673.15177999996</v>
          </cell>
          <cell r="AA266">
            <v>339767.86230486468</v>
          </cell>
          <cell r="AB266">
            <v>30798.636433333333</v>
          </cell>
          <cell r="AD266">
            <v>102893.346958198</v>
          </cell>
        </row>
        <row r="267">
          <cell r="C267" t="str">
            <v>May</v>
          </cell>
          <cell r="D267">
            <v>43267.739005000003</v>
          </cell>
          <cell r="E267">
            <v>69694.730404999995</v>
          </cell>
          <cell r="F267">
            <v>112962.51532666666</v>
          </cell>
          <cell r="G267">
            <v>61618.130763333327</v>
          </cell>
          <cell r="I267">
            <v>287543.11550000001</v>
          </cell>
          <cell r="O267" t="str">
            <v>May</v>
          </cell>
          <cell r="P267">
            <v>161126.63031666668</v>
          </cell>
          <cell r="Q267">
            <v>59180.470725000014</v>
          </cell>
          <cell r="R267">
            <v>62691.336224999999</v>
          </cell>
          <cell r="S267">
            <v>56784.213961884605</v>
          </cell>
          <cell r="T267">
            <v>339782.65122855123</v>
          </cell>
          <cell r="Y267" t="str">
            <v>May</v>
          </cell>
          <cell r="Z267">
            <v>-258152.11152833331</v>
          </cell>
          <cell r="AA267">
            <v>339782.65122855123</v>
          </cell>
          <cell r="AB267">
            <v>49981.969766666669</v>
          </cell>
          <cell r="AD267">
            <v>131612.5094668846</v>
          </cell>
        </row>
        <row r="268">
          <cell r="C268" t="str">
            <v>Jun</v>
          </cell>
          <cell r="D268">
            <v>39373.834583333337</v>
          </cell>
          <cell r="E268">
            <v>72466.796924999988</v>
          </cell>
          <cell r="F268">
            <v>103030.90849499998</v>
          </cell>
          <cell r="G268">
            <v>70158.668636666654</v>
          </cell>
          <cell r="I268">
            <v>285030.20864000003</v>
          </cell>
          <cell r="O268" t="str">
            <v>Jun</v>
          </cell>
          <cell r="P268">
            <v>102129.52637166665</v>
          </cell>
          <cell r="Q268">
            <v>42999.293538333332</v>
          </cell>
          <cell r="R268">
            <v>47973.24556499999</v>
          </cell>
          <cell r="S268">
            <v>66676.811824319084</v>
          </cell>
          <cell r="T268">
            <v>259778.87729931905</v>
          </cell>
          <cell r="Y268" t="str">
            <v>Jun</v>
          </cell>
          <cell r="Z268">
            <v>-228925.48663333329</v>
          </cell>
          <cell r="AA268">
            <v>259778.87729931905</v>
          </cell>
          <cell r="AB268">
            <v>61116.666666666664</v>
          </cell>
          <cell r="AD268">
            <v>91970.057332652403</v>
          </cell>
        </row>
        <row r="269">
          <cell r="C269" t="str">
            <v>Jul</v>
          </cell>
          <cell r="D269">
            <v>35860.512776666663</v>
          </cell>
          <cell r="E269">
            <v>71895.775574999992</v>
          </cell>
          <cell r="F269">
            <v>99516.816006666675</v>
          </cell>
          <cell r="G269">
            <v>81662.032103333346</v>
          </cell>
          <cell r="I269">
            <v>288935.13646166667</v>
          </cell>
          <cell r="O269" t="str">
            <v>Jul</v>
          </cell>
          <cell r="P269">
            <v>85687.744896666671</v>
          </cell>
          <cell r="Q269">
            <v>53503.768298333336</v>
          </cell>
          <cell r="R269">
            <v>45534.662236666663</v>
          </cell>
          <cell r="S269">
            <v>56806.725030134112</v>
          </cell>
          <cell r="T269">
            <v>241532.90046180077</v>
          </cell>
          <cell r="Y269" t="str">
            <v>Jul</v>
          </cell>
          <cell r="Z269">
            <v>-178703.83728166667</v>
          </cell>
          <cell r="AA269">
            <v>241532.90046180077</v>
          </cell>
          <cell r="AB269">
            <v>35916.666666666664</v>
          </cell>
          <cell r="AD269">
            <v>98745.729846800779</v>
          </cell>
        </row>
        <row r="270">
          <cell r="C270" t="str">
            <v>Ago</v>
          </cell>
          <cell r="D270">
            <v>34223.35472333333</v>
          </cell>
          <cell r="E270">
            <v>68459.423858333335</v>
          </cell>
          <cell r="F270">
            <v>98383.858888333329</v>
          </cell>
          <cell r="G270">
            <v>83508.550133333352</v>
          </cell>
          <cell r="I270">
            <v>284575.18760333332</v>
          </cell>
          <cell r="O270" t="str">
            <v>Ago</v>
          </cell>
          <cell r="P270">
            <v>88404.334628333338</v>
          </cell>
          <cell r="Q270">
            <v>47915.581600000005</v>
          </cell>
          <cell r="R270">
            <v>39572.708684999998</v>
          </cell>
          <cell r="S270">
            <v>38089.487081194202</v>
          </cell>
          <cell r="T270">
            <v>213982.11199452751</v>
          </cell>
          <cell r="Y270" t="str">
            <v>Ago</v>
          </cell>
          <cell r="Z270">
            <v>-179333.90474333335</v>
          </cell>
          <cell r="AA270">
            <v>213982.11199452751</v>
          </cell>
          <cell r="AB270">
            <v>-1633.3333333333333</v>
          </cell>
          <cell r="AD270">
            <v>33014.873917860874</v>
          </cell>
        </row>
        <row r="271">
          <cell r="C271" t="str">
            <v>Sep</v>
          </cell>
          <cell r="D271">
            <v>41529.206971666667</v>
          </cell>
          <cell r="E271">
            <v>67200.332143333333</v>
          </cell>
          <cell r="F271">
            <v>94140.631163333324</v>
          </cell>
          <cell r="G271">
            <v>74380.776320000019</v>
          </cell>
          <cell r="I271">
            <v>277250.94659833336</v>
          </cell>
          <cell r="O271" t="str">
            <v>Sep</v>
          </cell>
          <cell r="P271">
            <v>74997.480360000001</v>
          </cell>
          <cell r="Q271">
            <v>48960.305901666667</v>
          </cell>
          <cell r="R271">
            <v>31071.557433333332</v>
          </cell>
          <cell r="S271">
            <v>34986.697380157733</v>
          </cell>
          <cell r="T271">
            <v>190016.04107515773</v>
          </cell>
          <cell r="Y271" t="str">
            <v>Sep</v>
          </cell>
          <cell r="Z271">
            <v>-169315.86543833333</v>
          </cell>
          <cell r="AA271">
            <v>190016.04107515773</v>
          </cell>
          <cell r="AB271">
            <v>-18850</v>
          </cell>
          <cell r="AD271">
            <v>1850.1756368243903</v>
          </cell>
        </row>
        <row r="272">
          <cell r="C272" t="str">
            <v>Oct</v>
          </cell>
          <cell r="D272">
            <v>34370.955369999996</v>
          </cell>
          <cell r="E272">
            <v>65924.47546833333</v>
          </cell>
          <cell r="F272">
            <v>98272.167576666674</v>
          </cell>
          <cell r="G272">
            <v>78176.266288333354</v>
          </cell>
          <cell r="I272">
            <v>276743.8647033333</v>
          </cell>
          <cell r="O272" t="str">
            <v>Oct</v>
          </cell>
          <cell r="P272">
            <v>80306.610191666667</v>
          </cell>
          <cell r="Q272">
            <v>39362.031298333335</v>
          </cell>
          <cell r="R272">
            <v>29474.856035000001</v>
          </cell>
          <cell r="S272">
            <v>24605.239065106536</v>
          </cell>
          <cell r="T272">
            <v>173748.73659010654</v>
          </cell>
          <cell r="Y272" t="str">
            <v>Oct</v>
          </cell>
          <cell r="Z272">
            <v>-161257.66357</v>
          </cell>
          <cell r="AA272">
            <v>173748.73659010654</v>
          </cell>
          <cell r="AB272">
            <v>-21963.684829999998</v>
          </cell>
          <cell r="AD272">
            <v>-9472.6118098934603</v>
          </cell>
        </row>
        <row r="273">
          <cell r="C273" t="str">
            <v>Nov</v>
          </cell>
          <cell r="D273">
            <v>34110.993686666661</v>
          </cell>
          <cell r="E273">
            <v>63955.253304999998</v>
          </cell>
          <cell r="F273">
            <v>105983.657445</v>
          </cell>
          <cell r="G273">
            <v>79552.376056666675</v>
          </cell>
          <cell r="I273">
            <v>283602.2804933333</v>
          </cell>
          <cell r="O273" t="str">
            <v>Nov</v>
          </cell>
          <cell r="P273">
            <v>69774.446546666659</v>
          </cell>
          <cell r="Q273">
            <v>39388.332619999994</v>
          </cell>
          <cell r="R273">
            <v>39536.161889999996</v>
          </cell>
          <cell r="S273">
            <v>31657.07105446963</v>
          </cell>
          <cell r="T273">
            <v>180356.01211113631</v>
          </cell>
          <cell r="Y273" t="str">
            <v>Nov</v>
          </cell>
          <cell r="Z273">
            <v>-187552.624235</v>
          </cell>
          <cell r="AA273">
            <v>180356.01211113631</v>
          </cell>
          <cell r="AB273">
            <v>-32753.148740000001</v>
          </cell>
          <cell r="AD273">
            <v>-39949.76086386371</v>
          </cell>
        </row>
        <row r="274">
          <cell r="C274" t="str">
            <v>Dic</v>
          </cell>
          <cell r="D274">
            <v>34466.542464999991</v>
          </cell>
          <cell r="E274">
            <v>58722.495736666664</v>
          </cell>
          <cell r="F274">
            <v>107608.40298166667</v>
          </cell>
          <cell r="G274">
            <v>74132.218721666679</v>
          </cell>
          <cell r="I274">
            <v>274929.65990500001</v>
          </cell>
          <cell r="O274" t="str">
            <v>Dic</v>
          </cell>
          <cell r="P274">
            <v>55789.135106666676</v>
          </cell>
          <cell r="Q274">
            <v>35756.202391666673</v>
          </cell>
          <cell r="R274">
            <v>60276.617993333341</v>
          </cell>
          <cell r="S274">
            <v>37119.058885698956</v>
          </cell>
          <cell r="T274">
            <v>188941.01437736562</v>
          </cell>
          <cell r="Y274" t="str">
            <v>Dic</v>
          </cell>
          <cell r="Z274">
            <v>-166615.58149333336</v>
          </cell>
          <cell r="AA274">
            <v>188941.01437736562</v>
          </cell>
          <cell r="AB274">
            <v>-60625.274566666667</v>
          </cell>
          <cell r="AD274">
            <v>-38299.841682634382</v>
          </cell>
        </row>
        <row r="275">
          <cell r="B275">
            <v>1996</v>
          </cell>
          <cell r="C275" t="str">
            <v>Ene</v>
          </cell>
          <cell r="D275">
            <v>34844.573451666663</v>
          </cell>
          <cell r="E275">
            <v>56989.373513333325</v>
          </cell>
          <cell r="F275">
            <v>108423.53987500002</v>
          </cell>
          <cell r="G275">
            <v>61141.686106666668</v>
          </cell>
          <cell r="I275">
            <v>261399.17294666669</v>
          </cell>
          <cell r="N275">
            <v>1996</v>
          </cell>
          <cell r="O275" t="str">
            <v>Ene</v>
          </cell>
          <cell r="P275">
            <v>41580.874805000007</v>
          </cell>
          <cell r="Q275">
            <v>25556.522741666664</v>
          </cell>
          <cell r="R275">
            <v>62006.226469999994</v>
          </cell>
          <cell r="S275">
            <v>38384.639720000123</v>
          </cell>
          <cell r="T275">
            <v>167528.26373666679</v>
          </cell>
          <cell r="X275">
            <v>1996</v>
          </cell>
          <cell r="Y275" t="str">
            <v>Ene</v>
          </cell>
          <cell r="Z275">
            <v>-176939.54973</v>
          </cell>
          <cell r="AA275">
            <v>167528.26373666679</v>
          </cell>
          <cell r="AB275">
            <v>-53921.339238333334</v>
          </cell>
          <cell r="AD275">
            <v>-63332.625231666541</v>
          </cell>
        </row>
        <row r="276">
          <cell r="C276" t="str">
            <v>Feb</v>
          </cell>
          <cell r="D276">
            <v>34689.694721666659</v>
          </cell>
          <cell r="E276">
            <v>54168.777054999991</v>
          </cell>
          <cell r="F276">
            <v>108454.95617999999</v>
          </cell>
          <cell r="G276">
            <v>56312.797366666673</v>
          </cell>
          <cell r="I276">
            <v>253626.22532333332</v>
          </cell>
          <cell r="O276" t="str">
            <v>Feb</v>
          </cell>
          <cell r="P276">
            <v>-48.03182500000063</v>
          </cell>
          <cell r="Q276">
            <v>51119.598476666666</v>
          </cell>
          <cell r="R276">
            <v>65942.91998666666</v>
          </cell>
          <cell r="S276">
            <v>67761.811563658077</v>
          </cell>
          <cell r="T276">
            <v>184776.29820199139</v>
          </cell>
          <cell r="Y276" t="str">
            <v>Feb</v>
          </cell>
          <cell r="Z276">
            <v>-196460.44842</v>
          </cell>
          <cell r="AA276">
            <v>184776.29820199139</v>
          </cell>
          <cell r="AB276">
            <v>-33339.118364999995</v>
          </cell>
          <cell r="AD276">
            <v>-45023.268583008583</v>
          </cell>
        </row>
        <row r="277">
          <cell r="C277" t="str">
            <v>Mar</v>
          </cell>
          <cell r="D277">
            <v>25116.311400000002</v>
          </cell>
          <cell r="E277">
            <v>49235.61065000001</v>
          </cell>
          <cell r="F277">
            <v>112280.41220166667</v>
          </cell>
          <cell r="G277">
            <v>51199.889945000003</v>
          </cell>
          <cell r="I277">
            <v>237832.22419666665</v>
          </cell>
          <cell r="O277" t="str">
            <v>Mar</v>
          </cell>
          <cell r="P277">
            <v>-8279.223123333335</v>
          </cell>
          <cell r="Q277">
            <v>66670.061649999989</v>
          </cell>
          <cell r="R277">
            <v>74114.32153666667</v>
          </cell>
          <cell r="S277">
            <v>80380.823656129476</v>
          </cell>
          <cell r="T277">
            <v>212885.98371946279</v>
          </cell>
          <cell r="Y277" t="str">
            <v>Mar</v>
          </cell>
          <cell r="Z277">
            <v>-231923.74480999997</v>
          </cell>
          <cell r="AA277">
            <v>212885.98371946279</v>
          </cell>
          <cell r="AB277">
            <v>-47404.351296666668</v>
          </cell>
          <cell r="AD277">
            <v>-66442.112387203859</v>
          </cell>
        </row>
        <row r="278">
          <cell r="C278" t="str">
            <v>Abr</v>
          </cell>
          <cell r="D278">
            <v>24456.871618333334</v>
          </cell>
          <cell r="E278">
            <v>48182.325985000003</v>
          </cell>
          <cell r="F278">
            <v>112608.25864166667</v>
          </cell>
          <cell r="G278">
            <v>49144.719568333334</v>
          </cell>
          <cell r="I278">
            <v>234392.17581333336</v>
          </cell>
          <cell r="O278" t="str">
            <v>Abr</v>
          </cell>
          <cell r="P278">
            <v>-9376.2494366666633</v>
          </cell>
          <cell r="Q278">
            <v>68098.178189999991</v>
          </cell>
          <cell r="R278">
            <v>65628.423061666675</v>
          </cell>
          <cell r="S278">
            <v>95914.958443380179</v>
          </cell>
          <cell r="T278">
            <v>220265.31025838014</v>
          </cell>
          <cell r="Y278" t="str">
            <v>Abr</v>
          </cell>
          <cell r="Z278">
            <v>-239127.27791833333</v>
          </cell>
          <cell r="AA278">
            <v>220265.31025838014</v>
          </cell>
          <cell r="AB278">
            <v>-56330.334265000005</v>
          </cell>
          <cell r="AD278">
            <v>-75192.301924953179</v>
          </cell>
        </row>
        <row r="279">
          <cell r="C279" t="str">
            <v>May</v>
          </cell>
          <cell r="D279">
            <v>25409.942503333335</v>
          </cell>
          <cell r="E279">
            <v>48965.060149999998</v>
          </cell>
          <cell r="F279">
            <v>120986.30055666667</v>
          </cell>
          <cell r="G279">
            <v>43391.449593333331</v>
          </cell>
          <cell r="I279">
            <v>238752.75280333334</v>
          </cell>
          <cell r="O279" t="str">
            <v>May</v>
          </cell>
          <cell r="P279">
            <v>-6516.4327283333332</v>
          </cell>
          <cell r="Q279">
            <v>84074.385720000006</v>
          </cell>
          <cell r="R279">
            <v>64039.480255000009</v>
          </cell>
          <cell r="S279">
            <v>71207.32573699714</v>
          </cell>
          <cell r="T279">
            <v>212804.75898366378</v>
          </cell>
          <cell r="Y279" t="str">
            <v>May</v>
          </cell>
          <cell r="Z279">
            <v>-218726.87067833333</v>
          </cell>
          <cell r="AA279">
            <v>212804.75898366378</v>
          </cell>
          <cell r="AB279">
            <v>-53417.156603333337</v>
          </cell>
          <cell r="AD279">
            <v>-59339.268298002862</v>
          </cell>
        </row>
        <row r="280">
          <cell r="C280" t="str">
            <v>Jun</v>
          </cell>
          <cell r="D280">
            <v>25136.471313333339</v>
          </cell>
          <cell r="E280">
            <v>47501.978901666669</v>
          </cell>
          <cell r="F280">
            <v>129055.03243166667</v>
          </cell>
          <cell r="G280">
            <v>40511.880411666665</v>
          </cell>
          <cell r="I280">
            <v>242205.36305833329</v>
          </cell>
          <cell r="O280" t="str">
            <v>Jun</v>
          </cell>
          <cell r="P280">
            <v>9991.4435833333337</v>
          </cell>
          <cell r="Q280">
            <v>81443.784386666666</v>
          </cell>
          <cell r="R280">
            <v>72516.173655000006</v>
          </cell>
          <cell r="S280">
            <v>71272.696914999993</v>
          </cell>
          <cell r="T280">
            <v>235224.09854000001</v>
          </cell>
          <cell r="Y280" t="str">
            <v>Jun</v>
          </cell>
          <cell r="Z280">
            <v>-278416.22840000002</v>
          </cell>
          <cell r="AA280">
            <v>235224.09854000001</v>
          </cell>
          <cell r="AB280">
            <v>-17349.807978333334</v>
          </cell>
          <cell r="AD280">
            <v>-60541.937838333331</v>
          </cell>
        </row>
        <row r="281">
          <cell r="C281" t="str">
            <v>Jul</v>
          </cell>
          <cell r="D281">
            <v>24691.592408333334</v>
          </cell>
          <cell r="E281">
            <v>48005.579523333327</v>
          </cell>
          <cell r="F281">
            <v>140738.67572999999</v>
          </cell>
          <cell r="G281">
            <v>47684.274143333336</v>
          </cell>
          <cell r="I281">
            <v>261120.121805</v>
          </cell>
          <cell r="O281" t="str">
            <v>Jul</v>
          </cell>
          <cell r="P281">
            <v>38233.271061666666</v>
          </cell>
          <cell r="Q281">
            <v>82935.366916666666</v>
          </cell>
          <cell r="R281">
            <v>74129.990276666664</v>
          </cell>
          <cell r="S281">
            <v>87541.816590000002</v>
          </cell>
          <cell r="T281">
            <v>282840.44484499999</v>
          </cell>
          <cell r="Y281" t="str">
            <v>Jul</v>
          </cell>
          <cell r="Z281">
            <v>-305273.28091166663</v>
          </cell>
          <cell r="AA281">
            <v>282840.44484499999</v>
          </cell>
          <cell r="AB281">
            <v>759.55288833333418</v>
          </cell>
          <cell r="AD281">
            <v>-21673.283178333339</v>
          </cell>
        </row>
        <row r="282">
          <cell r="C282" t="str">
            <v>Ago</v>
          </cell>
          <cell r="D282">
            <v>23093.343966666667</v>
          </cell>
          <cell r="E282">
            <v>49924.149059999996</v>
          </cell>
          <cell r="F282">
            <v>150495.51800166667</v>
          </cell>
          <cell r="G282">
            <v>49335.295606666659</v>
          </cell>
          <cell r="I282">
            <v>272848.30663499999</v>
          </cell>
          <cell r="O282" t="str">
            <v>Ago</v>
          </cell>
          <cell r="P282">
            <v>59464.168658333336</v>
          </cell>
          <cell r="Q282">
            <v>148111.950105</v>
          </cell>
          <cell r="R282">
            <v>75443.203680000006</v>
          </cell>
          <cell r="S282">
            <v>42542.372248333333</v>
          </cell>
          <cell r="T282">
            <v>325561.69469166663</v>
          </cell>
          <cell r="Y282" t="str">
            <v>Ago</v>
          </cell>
          <cell r="Z282">
            <v>-319500.03387999994</v>
          </cell>
          <cell r="AA282">
            <v>325561.69469166663</v>
          </cell>
          <cell r="AB282">
            <v>1812.5937750000023</v>
          </cell>
          <cell r="AD282">
            <v>7874.2545866666669</v>
          </cell>
        </row>
        <row r="283">
          <cell r="C283" t="str">
            <v>Sep</v>
          </cell>
          <cell r="D283">
            <v>21453.520793333333</v>
          </cell>
          <cell r="E283">
            <v>49983.616286666664</v>
          </cell>
          <cell r="F283">
            <v>154268.32320166667</v>
          </cell>
          <cell r="G283">
            <v>54880.221976666675</v>
          </cell>
          <cell r="I283">
            <v>280585.68225833337</v>
          </cell>
          <cell r="O283" t="str">
            <v>Sep</v>
          </cell>
          <cell r="P283">
            <v>100615.12422499999</v>
          </cell>
          <cell r="Q283">
            <v>133593.17721666666</v>
          </cell>
          <cell r="R283">
            <v>72425.332181666672</v>
          </cell>
          <cell r="S283">
            <v>55896.621465000011</v>
          </cell>
          <cell r="T283">
            <v>362530.25508833333</v>
          </cell>
          <cell r="Y283" t="str">
            <v>Sep</v>
          </cell>
          <cell r="Z283">
            <v>-336415.74398000003</v>
          </cell>
          <cell r="AA283">
            <v>362530.25508833333</v>
          </cell>
          <cell r="AB283">
            <v>1916.8814033333347</v>
          </cell>
          <cell r="AD283">
            <v>28031.392511666665</v>
          </cell>
        </row>
        <row r="284">
          <cell r="C284" t="str">
            <v>Oct</v>
          </cell>
          <cell r="D284">
            <v>19924.915714999999</v>
          </cell>
          <cell r="E284">
            <v>50936.281976666673</v>
          </cell>
          <cell r="F284">
            <v>169803.56778000001</v>
          </cell>
          <cell r="G284">
            <v>55315.211055</v>
          </cell>
          <cell r="I284">
            <v>295979.97652666672</v>
          </cell>
          <cell r="O284" t="str">
            <v>Oct</v>
          </cell>
          <cell r="P284">
            <v>132076.69024666667</v>
          </cell>
          <cell r="Q284">
            <v>144445.68600833334</v>
          </cell>
          <cell r="R284">
            <v>74036.618805000006</v>
          </cell>
          <cell r="S284">
            <v>61105.214890000003</v>
          </cell>
          <cell r="T284">
            <v>411664.20994999999</v>
          </cell>
          <cell r="Y284" t="str">
            <v>Oct</v>
          </cell>
          <cell r="Z284">
            <v>-372547.33006499993</v>
          </cell>
          <cell r="AA284">
            <v>411664.20994999999</v>
          </cell>
          <cell r="AB284">
            <v>17145.089113333332</v>
          </cell>
          <cell r="AD284">
            <v>56261.968998333345</v>
          </cell>
        </row>
        <row r="285">
          <cell r="C285" t="str">
            <v>Nov</v>
          </cell>
          <cell r="D285">
            <v>17286.553488333335</v>
          </cell>
          <cell r="E285">
            <v>55994.625650000002</v>
          </cell>
          <cell r="F285">
            <v>164378.24958</v>
          </cell>
          <cell r="G285">
            <v>53602.809803333337</v>
          </cell>
          <cell r="I285">
            <v>291262.23852166667</v>
          </cell>
          <cell r="O285" t="str">
            <v>Nov</v>
          </cell>
          <cell r="P285">
            <v>160341.35396333333</v>
          </cell>
          <cell r="Q285">
            <v>143936.53824999998</v>
          </cell>
          <cell r="R285">
            <v>65307.85599833334</v>
          </cell>
          <cell r="S285">
            <v>69868.09497333334</v>
          </cell>
          <cell r="T285">
            <v>439453.84318499995</v>
          </cell>
          <cell r="Y285" t="str">
            <v>Nov</v>
          </cell>
          <cell r="Z285">
            <v>-388523.99101</v>
          </cell>
          <cell r="AA285">
            <v>439453.84318499995</v>
          </cell>
          <cell r="AB285">
            <v>24858.700655000004</v>
          </cell>
          <cell r="AD285">
            <v>75788.552830000001</v>
          </cell>
        </row>
        <row r="286">
          <cell r="C286" t="str">
            <v>Dic</v>
          </cell>
          <cell r="D286">
            <v>17164.574243333333</v>
          </cell>
          <cell r="E286">
            <v>59259.661918333331</v>
          </cell>
          <cell r="F286">
            <v>160915.71916999997</v>
          </cell>
          <cell r="G286">
            <v>57028.318348333327</v>
          </cell>
          <cell r="I286">
            <v>294368.27368000004</v>
          </cell>
          <cell r="O286" t="str">
            <v>Dic</v>
          </cell>
          <cell r="P286">
            <v>322578.78442833334</v>
          </cell>
          <cell r="Q286">
            <v>194082.96588499998</v>
          </cell>
          <cell r="R286">
            <v>78251.965351666673</v>
          </cell>
          <cell r="S286">
            <v>98399.398513333334</v>
          </cell>
          <cell r="T286">
            <v>693313.11417833332</v>
          </cell>
          <cell r="Y286" t="str">
            <v>Dic</v>
          </cell>
          <cell r="Z286">
            <v>-386494.05327000003</v>
          </cell>
          <cell r="AA286">
            <v>693313.11417833332</v>
          </cell>
          <cell r="AB286">
            <v>15748.736275000001</v>
          </cell>
          <cell r="AD286">
            <v>322567.79718333337</v>
          </cell>
        </row>
        <row r="287">
          <cell r="B287" t="str">
            <v>1997 (p)</v>
          </cell>
          <cell r="C287" t="str">
            <v>Ene</v>
          </cell>
          <cell r="D287">
            <v>17369.346501666667</v>
          </cell>
          <cell r="E287">
            <v>59366.101961666667</v>
          </cell>
          <cell r="F287">
            <v>160314.88017499997</v>
          </cell>
          <cell r="G287">
            <v>51591.897044999998</v>
          </cell>
          <cell r="I287">
            <v>288642.22568333329</v>
          </cell>
          <cell r="N287" t="str">
            <v>1997 (p)</v>
          </cell>
          <cell r="O287" t="str">
            <v>Ene</v>
          </cell>
          <cell r="P287">
            <v>333060.40964166663</v>
          </cell>
          <cell r="Q287">
            <v>192514.9504</v>
          </cell>
          <cell r="R287">
            <v>72881.32551166667</v>
          </cell>
          <cell r="S287">
            <v>96914.935355000009</v>
          </cell>
          <cell r="T287">
            <v>695371.62090833334</v>
          </cell>
          <cell r="X287" t="str">
            <v>1997 (p)</v>
          </cell>
          <cell r="Y287" t="str">
            <v>Ene</v>
          </cell>
          <cell r="Z287">
            <v>-382320.53570166667</v>
          </cell>
          <cell r="AA287">
            <v>695371.62090833334</v>
          </cell>
          <cell r="AB287">
            <v>-12815.343706666667</v>
          </cell>
          <cell r="AD287">
            <v>300235.7415</v>
          </cell>
        </row>
        <row r="288">
          <cell r="C288" t="str">
            <v>Feb</v>
          </cell>
          <cell r="D288">
            <v>19126.598385000001</v>
          </cell>
          <cell r="E288">
            <v>58608.376793333337</v>
          </cell>
          <cell r="F288">
            <v>160824.33943166665</v>
          </cell>
          <cell r="G288">
            <v>52222.233586666669</v>
          </cell>
          <cell r="I288">
            <v>290781.5481966667</v>
          </cell>
          <cell r="O288" t="str">
            <v>Feb</v>
          </cell>
          <cell r="P288">
            <v>334953.85218833335</v>
          </cell>
          <cell r="Q288">
            <v>137797.08755333332</v>
          </cell>
          <cell r="R288">
            <v>80091.859766666676</v>
          </cell>
          <cell r="S288">
            <v>150305.42429166666</v>
          </cell>
          <cell r="T288">
            <v>703148.22379999992</v>
          </cell>
          <cell r="Y288" t="str">
            <v>Feb</v>
          </cell>
          <cell r="Z288">
            <v>-396276.964095</v>
          </cell>
          <cell r="AA288">
            <v>703148.22379999992</v>
          </cell>
          <cell r="AB288">
            <v>-13848.536771666666</v>
          </cell>
          <cell r="AD288">
            <v>293022.72293333337</v>
          </cell>
        </row>
        <row r="289">
          <cell r="C289" t="str">
            <v>Mar</v>
          </cell>
          <cell r="D289">
            <v>20773.558845</v>
          </cell>
          <cell r="E289">
            <v>58822.166751666664</v>
          </cell>
          <cell r="F289">
            <v>166136.49071833334</v>
          </cell>
          <cell r="G289">
            <v>50736.144975000003</v>
          </cell>
          <cell r="I289">
            <v>296468.36128999997</v>
          </cell>
          <cell r="O289" t="str">
            <v>Mar</v>
          </cell>
          <cell r="P289">
            <v>329336.58408166666</v>
          </cell>
          <cell r="Q289">
            <v>149837.39120666668</v>
          </cell>
          <cell r="R289">
            <v>73828.850710000013</v>
          </cell>
          <cell r="S289">
            <v>155191.60296333334</v>
          </cell>
          <cell r="T289">
            <v>708194.42896166665</v>
          </cell>
          <cell r="Y289" t="str">
            <v>Mar</v>
          </cell>
          <cell r="Z289">
            <v>-387915.61631666665</v>
          </cell>
          <cell r="AA289">
            <v>708194.42896166665</v>
          </cell>
          <cell r="AB289">
            <v>-12695.542545000002</v>
          </cell>
          <cell r="AD289">
            <v>307583.27010000002</v>
          </cell>
        </row>
        <row r="290">
          <cell r="C290" t="str">
            <v>Abr</v>
          </cell>
          <cell r="D290">
            <v>22397.140455000001</v>
          </cell>
          <cell r="E290">
            <v>59327.781360000001</v>
          </cell>
          <cell r="F290">
            <v>167915.64908</v>
          </cell>
          <cell r="G290">
            <v>46586.381123333333</v>
          </cell>
          <cell r="I290">
            <v>296226.95201833331</v>
          </cell>
          <cell r="O290" t="str">
            <v>Abr</v>
          </cell>
          <cell r="P290">
            <v>320233.27594333334</v>
          </cell>
          <cell r="Q290">
            <v>155148.80483000001</v>
          </cell>
          <cell r="R290">
            <v>68160.643733333331</v>
          </cell>
          <cell r="S290">
            <v>153032.23968333335</v>
          </cell>
          <cell r="T290">
            <v>696574.96418999997</v>
          </cell>
          <cell r="Y290" t="str">
            <v>Abr</v>
          </cell>
          <cell r="Z290">
            <v>-383196.30323833338</v>
          </cell>
          <cell r="AA290">
            <v>696574.96418999997</v>
          </cell>
          <cell r="AB290">
            <v>-20586.358793333337</v>
          </cell>
          <cell r="AD290">
            <v>292792.3021583333</v>
          </cell>
        </row>
        <row r="291">
          <cell r="C291" t="str">
            <v>May</v>
          </cell>
          <cell r="D291">
            <v>23992.724683333334</v>
          </cell>
          <cell r="E291">
            <v>53154.152848333331</v>
          </cell>
          <cell r="F291">
            <v>170506.55379000001</v>
          </cell>
          <cell r="G291">
            <v>48679.98324833333</v>
          </cell>
          <cell r="I291">
            <v>296333.41457000002</v>
          </cell>
          <cell r="O291" t="str">
            <v>May</v>
          </cell>
          <cell r="P291">
            <v>327639.76962166664</v>
          </cell>
          <cell r="Q291">
            <v>150650.03337666669</v>
          </cell>
          <cell r="R291">
            <v>67206.146701666672</v>
          </cell>
          <cell r="S291">
            <v>144523.19886833333</v>
          </cell>
          <cell r="T291">
            <v>690019.14856833336</v>
          </cell>
          <cell r="Y291" t="str">
            <v>May</v>
          </cell>
          <cell r="Z291">
            <v>-376380.47557666665</v>
          </cell>
          <cell r="AA291">
            <v>690019.14856833336</v>
          </cell>
          <cell r="AB291">
            <v>-6617.8703166666646</v>
          </cell>
          <cell r="AD291">
            <v>307020.80267499998</v>
          </cell>
        </row>
        <row r="292">
          <cell r="C292" t="str">
            <v>Jun</v>
          </cell>
          <cell r="D292">
            <v>23726.924110000004</v>
          </cell>
          <cell r="E292">
            <v>49902.066115000001</v>
          </cell>
          <cell r="F292">
            <v>170935.71842166668</v>
          </cell>
          <cell r="G292">
            <v>55071.430151666667</v>
          </cell>
          <cell r="I292">
            <v>299636.1387983333</v>
          </cell>
          <cell r="O292" t="str">
            <v>Jun</v>
          </cell>
          <cell r="P292">
            <v>165271.41659833334</v>
          </cell>
          <cell r="Q292">
            <v>99983.112240000002</v>
          </cell>
          <cell r="R292">
            <v>39966.641853333342</v>
          </cell>
          <cell r="S292">
            <v>121503.44558833334</v>
          </cell>
          <cell r="T292">
            <v>426724.61628000002</v>
          </cell>
          <cell r="Y292" t="str">
            <v>Jun</v>
          </cell>
          <cell r="Z292">
            <v>-358267.9515266667</v>
          </cell>
          <cell r="AA292">
            <v>426724.61628000002</v>
          </cell>
          <cell r="AB292">
            <v>-6034.7962766666678</v>
          </cell>
          <cell r="AD292">
            <v>62421.868476666663</v>
          </cell>
        </row>
        <row r="293">
          <cell r="C293" t="str">
            <v>Jul</v>
          </cell>
          <cell r="D293">
            <v>22902.092268333334</v>
          </cell>
          <cell r="E293">
            <v>49629.36243666667</v>
          </cell>
          <cell r="F293">
            <v>165974.272195</v>
          </cell>
          <cell r="G293">
            <v>62920.324698333337</v>
          </cell>
          <cell r="I293">
            <v>301426.05159833335</v>
          </cell>
          <cell r="O293" t="str">
            <v>Jul</v>
          </cell>
          <cell r="P293">
            <v>151680.86584833334</v>
          </cell>
          <cell r="Q293">
            <v>134002.79079333335</v>
          </cell>
          <cell r="R293">
            <v>48866.928504999996</v>
          </cell>
          <cell r="S293">
            <v>79155.266216666685</v>
          </cell>
          <cell r="T293">
            <v>413705.85136333335</v>
          </cell>
          <cell r="Y293" t="str">
            <v>Jul</v>
          </cell>
          <cell r="Z293">
            <v>-339834.17495499999</v>
          </cell>
          <cell r="AA293">
            <v>413705.85136333335</v>
          </cell>
          <cell r="AB293">
            <v>269.0528633333318</v>
          </cell>
          <cell r="AD293">
            <v>74140.729271666656</v>
          </cell>
        </row>
        <row r="294">
          <cell r="C294" t="str">
            <v>Ago</v>
          </cell>
          <cell r="D294">
            <v>20227.370053333336</v>
          </cell>
          <cell r="E294">
            <v>47306.238040000004</v>
          </cell>
          <cell r="F294">
            <v>161951.02626833334</v>
          </cell>
          <cell r="G294">
            <v>66893.276741666661</v>
          </cell>
          <cell r="I294">
            <v>296377.91110333335</v>
          </cell>
          <cell r="O294" t="str">
            <v>Ago</v>
          </cell>
          <cell r="P294">
            <v>145883.95694</v>
          </cell>
          <cell r="Q294">
            <v>121141.81925</v>
          </cell>
          <cell r="R294">
            <v>51924.316109999992</v>
          </cell>
          <cell r="S294">
            <v>68809.873433333341</v>
          </cell>
          <cell r="T294">
            <v>387759.96573333332</v>
          </cell>
          <cell r="Y294" t="str">
            <v>Ago</v>
          </cell>
          <cell r="Z294">
            <v>-317339.53729666671</v>
          </cell>
          <cell r="AA294">
            <v>387759.96573333332</v>
          </cell>
          <cell r="AB294">
            <v>7016.5843533333318</v>
          </cell>
          <cell r="AD294">
            <v>77437.012789999993</v>
          </cell>
        </row>
        <row r="295">
          <cell r="C295" t="str">
            <v>Sep</v>
          </cell>
          <cell r="D295">
            <v>18550.502285000002</v>
          </cell>
          <cell r="E295">
            <v>47941.43856166667</v>
          </cell>
          <cell r="F295">
            <v>159928.43777833332</v>
          </cell>
          <cell r="G295">
            <v>71423.814020000005</v>
          </cell>
          <cell r="I295">
            <v>297844.192645</v>
          </cell>
          <cell r="O295" t="str">
            <v>Sep</v>
          </cell>
          <cell r="P295">
            <v>105797.48316333332</v>
          </cell>
          <cell r="Q295">
            <v>138990.01371999999</v>
          </cell>
          <cell r="R295">
            <v>52230.167576666667</v>
          </cell>
          <cell r="S295">
            <v>49875.718701666665</v>
          </cell>
          <cell r="T295">
            <v>346893.38316166663</v>
          </cell>
          <cell r="Y295" t="str">
            <v>Sep</v>
          </cell>
          <cell r="Z295">
            <v>-318974.59270666668</v>
          </cell>
          <cell r="AA295">
            <v>346893.38316166663</v>
          </cell>
          <cell r="AB295">
            <v>20248.522761666663</v>
          </cell>
          <cell r="AD295">
            <v>48167.313216666669</v>
          </cell>
        </row>
        <row r="296">
          <cell r="C296" t="str">
            <v>Oct</v>
          </cell>
          <cell r="D296">
            <v>16511.814085000002</v>
          </cell>
          <cell r="E296">
            <v>47090.560006666667</v>
          </cell>
          <cell r="F296">
            <v>152016.46364999999</v>
          </cell>
          <cell r="G296">
            <v>85547.143486666668</v>
          </cell>
          <cell r="I296">
            <v>301165.98122833332</v>
          </cell>
          <cell r="O296" t="str">
            <v>Oct</v>
          </cell>
          <cell r="P296">
            <v>74079.891043333322</v>
          </cell>
          <cell r="Q296">
            <v>140351.34542166666</v>
          </cell>
          <cell r="R296">
            <v>49603.796254999994</v>
          </cell>
          <cell r="S296">
            <v>53173.302055</v>
          </cell>
          <cell r="T296">
            <v>317208.33477499994</v>
          </cell>
          <cell r="Y296" t="str">
            <v>Oct</v>
          </cell>
          <cell r="Z296">
            <v>-326612.73442000005</v>
          </cell>
          <cell r="AA296">
            <v>317208.33477499994</v>
          </cell>
          <cell r="AB296">
            <v>36435.970708333334</v>
          </cell>
          <cell r="AD296">
            <v>27031.571063333336</v>
          </cell>
        </row>
        <row r="297">
          <cell r="C297" t="str">
            <v>Nov</v>
          </cell>
          <cell r="D297">
            <v>14083.895173333332</v>
          </cell>
          <cell r="E297">
            <v>50431.027683333326</v>
          </cell>
          <cell r="F297">
            <v>146066.92381666665</v>
          </cell>
          <cell r="G297">
            <v>87725.272511666655</v>
          </cell>
          <cell r="I297">
            <v>298307.11918499996</v>
          </cell>
          <cell r="O297" t="str">
            <v>Nov</v>
          </cell>
          <cell r="P297">
            <v>76592.644866666655</v>
          </cell>
          <cell r="Q297">
            <v>134262.57835833333</v>
          </cell>
          <cell r="R297">
            <v>52913.757290000001</v>
          </cell>
          <cell r="S297">
            <v>47581.509146666671</v>
          </cell>
          <cell r="T297">
            <v>311350.48966166668</v>
          </cell>
          <cell r="Y297" t="str">
            <v>Nov</v>
          </cell>
          <cell r="Z297">
            <v>-354172.24361666664</v>
          </cell>
          <cell r="AA297">
            <v>311350.48966166668</v>
          </cell>
          <cell r="AB297">
            <v>3787.6293799999985</v>
          </cell>
          <cell r="AD297">
            <v>-39034.124574999994</v>
          </cell>
        </row>
        <row r="298">
          <cell r="C298" t="str">
            <v>Dic*</v>
          </cell>
          <cell r="D298">
            <v>12661.622193333335</v>
          </cell>
          <cell r="E298">
            <v>51042.46510666667</v>
          </cell>
          <cell r="F298">
            <v>152316.88772833333</v>
          </cell>
          <cell r="G298">
            <v>86404.530006666668</v>
          </cell>
          <cell r="I298">
            <v>302425.50503499998</v>
          </cell>
          <cell r="O298" t="str">
            <v>Dic*</v>
          </cell>
          <cell r="P298">
            <v>109627.10902333334</v>
          </cell>
          <cell r="Q298">
            <v>145464.92456499999</v>
          </cell>
          <cell r="R298">
            <v>12224.204194999998</v>
          </cell>
          <cell r="S298">
            <v>92070.670924999999</v>
          </cell>
          <cell r="T298">
            <v>359386.90870833333</v>
          </cell>
          <cell r="Y298" t="str">
            <v>Dic*</v>
          </cell>
          <cell r="Z298">
            <v>-426885.95498666662</v>
          </cell>
          <cell r="AA298">
            <v>359386.90870833333</v>
          </cell>
          <cell r="AB298">
            <v>2528.6365883333347</v>
          </cell>
          <cell r="AD298">
            <v>-64970.409689999979</v>
          </cell>
        </row>
        <row r="299">
          <cell r="B299" t="str">
            <v>1998 (p)</v>
          </cell>
          <cell r="C299" t="str">
            <v>Ene</v>
          </cell>
          <cell r="D299">
            <v>11635.035040000001</v>
          </cell>
          <cell r="E299">
            <v>48884.957375000005</v>
          </cell>
          <cell r="F299">
            <v>150960.65745499998</v>
          </cell>
          <cell r="G299">
            <v>84973.905726666664</v>
          </cell>
          <cell r="I299">
            <v>296454.55726333329</v>
          </cell>
          <cell r="N299" t="str">
            <v>1998 (p)</v>
          </cell>
          <cell r="O299" t="str">
            <v>Ene</v>
          </cell>
          <cell r="P299">
            <v>85993.975580000013</v>
          </cell>
          <cell r="Q299">
            <v>119741.036265</v>
          </cell>
          <cell r="R299">
            <v>7051.870286666669</v>
          </cell>
          <cell r="S299">
            <v>120194.51575833332</v>
          </cell>
          <cell r="T299">
            <v>332981.39955666667</v>
          </cell>
          <cell r="X299" t="str">
            <v>1998 (p)</v>
          </cell>
          <cell r="Y299" t="str">
            <v>Ene</v>
          </cell>
          <cell r="Z299">
            <v>-440945.73099499993</v>
          </cell>
          <cell r="AA299">
            <v>332981.39955666667</v>
          </cell>
          <cell r="AB299">
            <v>19229.094568333334</v>
          </cell>
          <cell r="AD299">
            <v>-88735.238536666657</v>
          </cell>
        </row>
        <row r="300">
          <cell r="C300" t="str">
            <v>Feb</v>
          </cell>
          <cell r="D300">
            <v>11370.110316666667</v>
          </cell>
          <cell r="E300">
            <v>48647.964881666667</v>
          </cell>
          <cell r="F300">
            <v>156322.48554333334</v>
          </cell>
          <cell r="G300">
            <v>85517.627186666665</v>
          </cell>
          <cell r="I300">
            <v>301858.18792833335</v>
          </cell>
          <cell r="O300" t="str">
            <v>Feb</v>
          </cell>
          <cell r="P300">
            <v>53627.458561666666</v>
          </cell>
          <cell r="Q300">
            <v>103791.73435166669</v>
          </cell>
          <cell r="R300">
            <v>6392.4012433333337</v>
          </cell>
          <cell r="S300">
            <v>132911.373605</v>
          </cell>
          <cell r="T300">
            <v>296722.9694283334</v>
          </cell>
          <cell r="Y300" t="str">
            <v>Feb</v>
          </cell>
          <cell r="Z300">
            <v>-464582.8047866667</v>
          </cell>
          <cell r="AA300">
            <v>296722.9694283334</v>
          </cell>
          <cell r="AB300">
            <v>15020.512716666664</v>
          </cell>
          <cell r="AD300">
            <v>-152839.32430833331</v>
          </cell>
        </row>
        <row r="301">
          <cell r="C301" t="str">
            <v>Mar</v>
          </cell>
          <cell r="D301">
            <v>10836.815116666667</v>
          </cell>
          <cell r="E301">
            <v>46672.511701666663</v>
          </cell>
          <cell r="F301">
            <v>163167.79158000002</v>
          </cell>
          <cell r="G301">
            <v>82952.419665000009</v>
          </cell>
          <cell r="I301">
            <v>303629.53806333331</v>
          </cell>
          <cell r="O301" t="str">
            <v>Mar</v>
          </cell>
          <cell r="P301">
            <v>60560.697099999998</v>
          </cell>
          <cell r="Q301">
            <v>117853.39985833333</v>
          </cell>
          <cell r="R301">
            <v>17806.435840000002</v>
          </cell>
          <cell r="S301">
            <v>122718.38507333334</v>
          </cell>
          <cell r="T301">
            <v>318938.91787166672</v>
          </cell>
          <cell r="Y301" t="str">
            <v>Mar</v>
          </cell>
          <cell r="Z301">
            <v>-460160.96223499998</v>
          </cell>
          <cell r="AA301">
            <v>318938.91787166672</v>
          </cell>
          <cell r="AB301">
            <v>-5412.0196149999983</v>
          </cell>
          <cell r="AD301">
            <v>-146634.06397833332</v>
          </cell>
        </row>
        <row r="302">
          <cell r="C302" t="str">
            <v>Abr</v>
          </cell>
          <cell r="D302">
            <v>10786.891241666666</v>
          </cell>
          <cell r="E302">
            <v>41536.503214999997</v>
          </cell>
          <cell r="F302">
            <v>157863.55776166669</v>
          </cell>
          <cell r="G302">
            <v>70044.134846666668</v>
          </cell>
          <cell r="I302">
            <v>280231.08706500003</v>
          </cell>
          <cell r="O302" t="str">
            <v>Abr</v>
          </cell>
          <cell r="P302">
            <v>79755.169193333335</v>
          </cell>
          <cell r="Q302">
            <v>94977.78544833335</v>
          </cell>
          <cell r="R302">
            <v>-886.37505333333195</v>
          </cell>
          <cell r="S302">
            <v>163006.40040666668</v>
          </cell>
          <cell r="T302">
            <v>336852.979995</v>
          </cell>
          <cell r="Y302" t="str">
            <v>Abr</v>
          </cell>
          <cell r="Z302">
            <v>-454998.85496333329</v>
          </cell>
          <cell r="AA302">
            <v>336852.979995</v>
          </cell>
          <cell r="AB302">
            <v>-11787.962891666664</v>
          </cell>
          <cell r="AD302">
            <v>-129933.83785999999</v>
          </cell>
        </row>
        <row r="303">
          <cell r="C303" t="str">
            <v>May</v>
          </cell>
          <cell r="D303">
            <v>11187.256149999999</v>
          </cell>
          <cell r="E303">
            <v>37926.058666666671</v>
          </cell>
          <cell r="F303">
            <v>160834.43891999999</v>
          </cell>
          <cell r="G303">
            <v>67977.921728333327</v>
          </cell>
          <cell r="I303">
            <v>277925.67546500004</v>
          </cell>
          <cell r="O303" t="str">
            <v>May</v>
          </cell>
          <cell r="P303">
            <v>24158.69617166667</v>
          </cell>
          <cell r="Q303">
            <v>101016.40049500001</v>
          </cell>
          <cell r="R303">
            <v>-3122.7004283333317</v>
          </cell>
          <cell r="S303">
            <v>181698.77492833335</v>
          </cell>
          <cell r="T303">
            <v>303751.17116666667</v>
          </cell>
          <cell r="Y303" t="str">
            <v>May</v>
          </cell>
          <cell r="Z303">
            <v>-443974.34957166668</v>
          </cell>
          <cell r="AA303">
            <v>303751.17116666667</v>
          </cell>
          <cell r="AB303">
            <v>2064.8146666666676</v>
          </cell>
          <cell r="AD303">
            <v>-138158.36540499999</v>
          </cell>
        </row>
        <row r="304">
          <cell r="C304" t="str">
            <v>Jun</v>
          </cell>
          <cell r="D304">
            <v>10922.199999999999</v>
          </cell>
          <cell r="E304">
            <v>36713.548333333332</v>
          </cell>
          <cell r="F304">
            <v>168370.55166666667</v>
          </cell>
          <cell r="G304">
            <v>66595.33666666667</v>
          </cell>
          <cell r="I304">
            <v>282601.63666666666</v>
          </cell>
          <cell r="O304" t="str">
            <v>Jun</v>
          </cell>
          <cell r="P304">
            <v>10781.35</v>
          </cell>
          <cell r="Q304">
            <v>91236.411666666667</v>
          </cell>
          <cell r="R304">
            <v>37654.691666666673</v>
          </cell>
          <cell r="S304">
            <v>85749.04833333334</v>
          </cell>
          <cell r="T304">
            <v>225421.50166666668</v>
          </cell>
          <cell r="Y304" t="str">
            <v>Jun</v>
          </cell>
          <cell r="Z304">
            <v>-370658.36000000004</v>
          </cell>
          <cell r="AA304">
            <v>225421.50166666668</v>
          </cell>
          <cell r="AB304">
            <v>4098.3183333333336</v>
          </cell>
          <cell r="AD304">
            <v>-141138.54166666666</v>
          </cell>
        </row>
        <row r="305">
          <cell r="C305" t="str">
            <v>Jul</v>
          </cell>
          <cell r="D305">
            <v>11414.711666666668</v>
          </cell>
          <cell r="E305">
            <v>37754.783333333333</v>
          </cell>
          <cell r="F305">
            <v>173647.77333333335</v>
          </cell>
          <cell r="G305">
            <v>68118.434999999998</v>
          </cell>
          <cell r="I305">
            <v>290935.7</v>
          </cell>
          <cell r="O305" t="str">
            <v>Jul</v>
          </cell>
          <cell r="P305">
            <v>33361.33833333334</v>
          </cell>
          <cell r="Q305">
            <v>85889.298333333325</v>
          </cell>
          <cell r="R305">
            <v>38055.65833333334</v>
          </cell>
          <cell r="S305">
            <v>107533.54</v>
          </cell>
          <cell r="T305">
            <v>264839.83333333331</v>
          </cell>
          <cell r="Y305" t="str">
            <v>Jul</v>
          </cell>
          <cell r="Z305">
            <v>-372395.5083333333</v>
          </cell>
          <cell r="AA305">
            <v>264839.83333333331</v>
          </cell>
          <cell r="AB305">
            <v>-7932.3966666666665</v>
          </cell>
          <cell r="AD305">
            <v>-115488.07333333332</v>
          </cell>
        </row>
        <row r="306">
          <cell r="C306" t="str">
            <v>Ago</v>
          </cell>
          <cell r="D306">
            <v>12084.974999999999</v>
          </cell>
          <cell r="E306">
            <v>37741.526666666665</v>
          </cell>
          <cell r="F306">
            <v>172000.45500000002</v>
          </cell>
          <cell r="G306">
            <v>64151.266666666663</v>
          </cell>
          <cell r="I306">
            <v>285978.22166666668</v>
          </cell>
          <cell r="O306" t="str">
            <v>Ago</v>
          </cell>
          <cell r="P306">
            <v>63183.216666666667</v>
          </cell>
          <cell r="Q306">
            <v>110420.60166666667</v>
          </cell>
          <cell r="R306">
            <v>41357.538333333338</v>
          </cell>
          <cell r="S306">
            <v>72696.740000000005</v>
          </cell>
          <cell r="T306">
            <v>287658.09499999997</v>
          </cell>
          <cell r="Y306" t="str">
            <v>Ago</v>
          </cell>
          <cell r="Z306">
            <v>-369629.66166666668</v>
          </cell>
          <cell r="AA306">
            <v>287658.09499999997</v>
          </cell>
          <cell r="AB306">
            <v>6261.4249999999993</v>
          </cell>
          <cell r="AD306">
            <v>-75710.143333333326</v>
          </cell>
        </row>
        <row r="307">
          <cell r="C307" t="str">
            <v>Sep</v>
          </cell>
          <cell r="D307">
            <v>12581.208333333334</v>
          </cell>
          <cell r="E307">
            <v>37849.644999999997</v>
          </cell>
          <cell r="F307">
            <v>165452.62166666667</v>
          </cell>
          <cell r="G307">
            <v>69822.964999999997</v>
          </cell>
          <cell r="I307">
            <v>285706.4383333333</v>
          </cell>
          <cell r="O307" t="str">
            <v>Sep</v>
          </cell>
          <cell r="P307">
            <v>78523.143333333326</v>
          </cell>
          <cell r="Q307">
            <v>54628.528333333328</v>
          </cell>
          <cell r="R307">
            <v>40205.508333333331</v>
          </cell>
          <cell r="S307">
            <v>87043.83666666667</v>
          </cell>
          <cell r="T307">
            <v>260401.01833333334</v>
          </cell>
          <cell r="Y307" t="str">
            <v>Sep</v>
          </cell>
          <cell r="Z307">
            <v>-399708.37166666664</v>
          </cell>
          <cell r="AA307">
            <v>260401.01833333334</v>
          </cell>
          <cell r="AB307">
            <v>35872.776666666665</v>
          </cell>
          <cell r="AD307">
            <v>-103434.58</v>
          </cell>
        </row>
        <row r="308">
          <cell r="C308" t="str">
            <v>Oct</v>
          </cell>
          <cell r="D308">
            <v>13786.938333333334</v>
          </cell>
          <cell r="E308">
            <v>42328.396666666667</v>
          </cell>
          <cell r="F308">
            <v>179949.67833333334</v>
          </cell>
          <cell r="G308">
            <v>85799.471666666665</v>
          </cell>
          <cell r="I308">
            <v>321864.48500000004</v>
          </cell>
          <cell r="O308" t="str">
            <v>Oct</v>
          </cell>
          <cell r="P308">
            <v>41884.78666666666</v>
          </cell>
          <cell r="Q308">
            <v>101163.35166666667</v>
          </cell>
          <cell r="R308">
            <v>60131.393333333333</v>
          </cell>
          <cell r="S308">
            <v>22272.62833333333</v>
          </cell>
          <cell r="T308">
            <v>225452.16</v>
          </cell>
          <cell r="Y308" t="str">
            <v>Oct</v>
          </cell>
          <cell r="Z308">
            <v>-370867.87166666664</v>
          </cell>
          <cell r="AA308">
            <v>225452.16</v>
          </cell>
          <cell r="AB308">
            <v>32732.05666666666</v>
          </cell>
          <cell r="AD308">
            <v>-112683.65833333333</v>
          </cell>
        </row>
        <row r="309">
          <cell r="C309" t="str">
            <v>Nov</v>
          </cell>
          <cell r="D309">
            <v>15956.17</v>
          </cell>
          <cell r="E309">
            <v>42565.829999999994</v>
          </cell>
          <cell r="F309">
            <v>186235.3483333333</v>
          </cell>
          <cell r="G309">
            <v>91191.938333333339</v>
          </cell>
          <cell r="I309">
            <v>335949.28666666668</v>
          </cell>
          <cell r="O309" t="str">
            <v>Nov</v>
          </cell>
          <cell r="P309">
            <v>71384.639999999999</v>
          </cell>
          <cell r="Q309">
            <v>93063.611666666649</v>
          </cell>
          <cell r="R309">
            <v>62303.426666666666</v>
          </cell>
          <cell r="S309">
            <v>19731.321666666663</v>
          </cell>
          <cell r="T309">
            <v>246483.00166666662</v>
          </cell>
          <cell r="Y309" t="str">
            <v>Nov</v>
          </cell>
          <cell r="Z309">
            <v>-340881.92333333334</v>
          </cell>
          <cell r="AA309">
            <v>246483.00166666662</v>
          </cell>
          <cell r="AB309">
            <v>14032.571666666661</v>
          </cell>
          <cell r="AD309">
            <v>-80366.353333333347</v>
          </cell>
        </row>
        <row r="310">
          <cell r="C310" t="str">
            <v>Dic*</v>
          </cell>
          <cell r="D310">
            <v>17355.821666666667</v>
          </cell>
          <cell r="E310">
            <v>46005.666666666664</v>
          </cell>
          <cell r="F310">
            <v>184797.86666666667</v>
          </cell>
          <cell r="G310">
            <v>88873.948333333319</v>
          </cell>
          <cell r="I310">
            <v>337033.30333333334</v>
          </cell>
          <cell r="O310" t="str">
            <v>Dic*</v>
          </cell>
          <cell r="P310">
            <v>58849.183333333327</v>
          </cell>
          <cell r="Q310">
            <v>131119.24</v>
          </cell>
          <cell r="R310">
            <v>51486.036666666674</v>
          </cell>
          <cell r="S310">
            <v>21724.983333333337</v>
          </cell>
          <cell r="T310">
            <v>263179.44666666666</v>
          </cell>
          <cell r="Y310" t="str">
            <v>Dic*</v>
          </cell>
          <cell r="Z310">
            <v>-341065.42499999999</v>
          </cell>
          <cell r="AA310">
            <v>263179.44666666666</v>
          </cell>
          <cell r="AB310">
            <v>22816.131666666664</v>
          </cell>
          <cell r="AD310">
            <v>-55069.850000000006</v>
          </cell>
        </row>
      </sheetData>
      <sheetData sheetId="1" refreshError="1"/>
      <sheetData sheetId="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04"/>
      <sheetName val="103"/>
      <sheetName val="102"/>
      <sheetName val="101"/>
    </sheetNames>
    <sheetDataSet>
      <sheetData sheetId="0" refreshError="1"/>
      <sheetData sheetId="1" refreshError="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Daniel Fernando Medina Guerrero" id="{DEC134B9-DB79-5140-AB6C-A337BF10BF3E}" userId="S::daniel.medina@evolti.co::0356b592-c1da-4930-a120-b4cfc533b26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F07AB3-7D57-DB49-AE5A-C031B535701D}" name="Tabla34" displayName="Tabla34" ref="N5:T14" totalsRowShown="0" headerRowDxfId="38" dataDxfId="37" headerRowCellStyle="Normal 2" dataCellStyle="Normal 2">
  <autoFilter ref="N5:T14" xr:uid="{908D847F-8217-9342-A3E5-A64E1FFE12D7}">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486409A-FC5A-C246-99A6-B8A627E0A341}" name="Resumen Financiero (MM COP)" dataDxfId="36" dataCellStyle="Normal 2"/>
    <tableColumn id="2" xr3:uid="{82E036F4-1DEE-BD4F-AE22-C69B71D08F74}" name="Año 1" dataDxfId="35" dataCellStyle="Normal 2"/>
    <tableColumn id="3" xr3:uid="{EDF10B2A-744A-3C46-995B-1395A1FA8C1A}" name="Año 2" dataDxfId="34" dataCellStyle="Normal 2"/>
    <tableColumn id="4" xr3:uid="{CD338AAC-419C-FC4F-A0C5-B7047966C666}" name="Año 3" dataDxfId="33" dataCellStyle="Normal 2"/>
    <tableColumn id="5" xr3:uid="{E49C4CF2-7E8E-3941-B660-6F79516D0481}" name="Año 4" dataDxfId="32" dataCellStyle="Normal 2"/>
    <tableColumn id="6" xr3:uid="{DA828590-4690-854A-B7CB-14B43AEEA162}" name="Año 5" dataDxfId="31" dataCellStyle="Normal 2"/>
    <tableColumn id="7" xr3:uid="{A4B586C6-435C-FA4D-B8F4-4C12438901CF}" name="Año 6" dataDxfId="30"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EFE9F30-0E75-CA4F-BB35-225C7CE0BCC7}" name="Tabla25" displayName="Tabla25" ref="N16:O21" headerRowCount="0" totalsRowShown="0" headerRowDxfId="29" dataDxfId="28">
  <tableColumns count="2">
    <tableColumn id="1" xr3:uid="{6ED6EE5A-429C-0942-A915-9AC60562C572}" name="Columna1" headerRowDxfId="27" dataDxfId="26" headerRowCellStyle="Normal 2" dataCellStyle="Normal 2"/>
    <tableColumn id="2" xr3:uid="{8C7EE596-CCE7-CC4A-AC5C-69358598820E}" name="Columna2" headerRowDxfId="25" dataDxfId="24" headerRow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8D847F-8217-9342-A3E5-A64E1FFE12D7}" name="Tabla3" displayName="Tabla3" ref="N5:T14" totalsRowShown="0" headerRowDxfId="23" dataDxfId="22" headerRowCellStyle="Normal 2" dataCellStyle="Normal 2">
  <autoFilter ref="N5:T14" xr:uid="{908D847F-8217-9342-A3E5-A64E1FFE12D7}">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5D9C88E-10C7-8041-AF26-A218FF31407A}" name="Resumen Financiero (MM COP)" dataDxfId="21" dataCellStyle="Normal 2"/>
    <tableColumn id="2" xr3:uid="{CCA8EC1B-1715-A643-BE4B-CBB2CED19224}" name="Año 1" dataDxfId="20" dataCellStyle="Normal 2"/>
    <tableColumn id="3" xr3:uid="{F1AB2F4B-1C72-9C4D-88A1-D01B546A5194}" name="Año 2" dataDxfId="19" dataCellStyle="Normal 2"/>
    <tableColumn id="4" xr3:uid="{235DC574-B83C-5744-9256-260F14091D05}" name="Año 3" dataDxfId="18" dataCellStyle="Normal 2"/>
    <tableColumn id="5" xr3:uid="{BB9807CD-6C26-E749-9C93-81FE6379F9A6}" name="Año 4" dataDxfId="17" dataCellStyle="Normal 2"/>
    <tableColumn id="6" xr3:uid="{E1DC5DAA-FB81-3944-85A6-BB253EA28C45}" name="Año 5" dataDxfId="16" dataCellStyle="Normal 2"/>
    <tableColumn id="7" xr3:uid="{8EA0BCD4-FE5F-344F-A9F7-83D266ADCCDB}" name="Año 6" dataDxfId="15"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37B2E9-51E1-D345-B3D3-CBB72F8AB138}" name="Tabla2" displayName="Tabla2" ref="N16:O21" headerRowCount="0" totalsRowShown="0" headerRowDxfId="14" dataDxfId="13">
  <tableColumns count="2">
    <tableColumn id="1" xr3:uid="{5E669CD5-FAEA-CC49-994C-2A74C78EC23B}" name="Columna1" headerRowDxfId="12" dataDxfId="11" headerRowCellStyle="Normal 2" dataCellStyle="Normal 2"/>
    <tableColumn id="2" xr3:uid="{D4E24D60-6A34-7647-BC05-6993BB3D69C7}" name="Columna2" headerRowDxfId="10" dataDxfId="9" headerRowCellStyle="Normal 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5" dT="2023-10-04T17:44:34.98" personId="{DEC134B9-DB79-5140-AB6C-A337BF10BF3E}" id="{FACD8B2C-8016-D842-8682-DE64724C38C8}">
    <text xml:space="preserve">Perdida anual de la generación de energía
</text>
  </threadedComment>
  <threadedComment ref="D6" dT="2023-10-04T17:40:42.75" personId="{DEC134B9-DB79-5140-AB6C-A337BF10BF3E}" id="{EFF84087-4810-6442-BC2C-148A3FC505FC}">
    <text>Simulación con probabilidad por encima del 90%</text>
  </threadedComment>
  <threadedComment ref="L7" dT="2023-10-04T17:43:25.69" personId="{DEC134B9-DB79-5140-AB6C-A337BF10BF3E}" id="{95591962-CC53-3A47-98AA-A078FD02BFD4}">
    <text>Incluye Mantenimiento, seguridad, supervisión y administración de la SPV.</text>
  </threadedComment>
  <threadedComment ref="L10" dT="2023-10-04T17:43:51.20" personId="{DEC134B9-DB79-5140-AB6C-A337BF10BF3E}" id="{D17E54F6-BD51-164B-93FE-DF9C015EC2CA}">
    <text xml:space="preserve">Arrendamiento + IVA
</text>
  </threadedComment>
  <threadedComment ref="D11" dT="2023-10-04T17:43:25.69" personId="{DEC134B9-DB79-5140-AB6C-A337BF10BF3E}" id="{449101BB-30D3-EB42-A54A-B740420BFD53}">
    <text>Incluye Mantenimiento, seguridad, supervisión y administración de la SPV.</text>
  </threadedComment>
  <threadedComment ref="D13" dT="2023-10-04T17:43:51.20" personId="{DEC134B9-DB79-5140-AB6C-A337BF10BF3E}" id="{DC15C1B8-3B17-884E-96EF-FF35AC7B7BA9}">
    <text xml:space="preserve">Arrendamiento + IVA
</text>
  </threadedComment>
  <threadedComment ref="H14" dT="2023-10-04T17:47:55.93" personId="{DEC134B9-DB79-5140-AB6C-A337BF10BF3E}" id="{D35C6941-71FB-0345-A93E-602C805D1CA0}">
    <text>Para el cálculo del LCOE</text>
  </threadedComment>
  <threadedComment ref="D51" dT="2023-10-04T17:50:24.34" personId="{DEC134B9-DB79-5140-AB6C-A337BF10BF3E}" id="{1FC4220E-67B8-2041-9923-2440867134CA}">
    <text>Se utiliza los beneficios tributarios para reducir al máximo la base gravable. Los beneficios reales estarán en el flujo de caja libre.</text>
  </threadedComment>
  <threadedComment ref="D63" dT="2023-10-04T18:35:12.54" personId="{DEC134B9-DB79-5140-AB6C-A337BF10BF3E}" id="{AC78195E-00C7-094B-8A33-55A87AA74BB2}">
    <text xml:space="preserve">Le sumo el beneficio neto de renta para Energía Renovable porque los impuestos operacionales no lo tuvieron en cuenta al restar. </text>
  </threadedComment>
</ThreadedComments>
</file>

<file path=xl/threadedComments/threadedComment2.xml><?xml version="1.0" encoding="utf-8"?>
<ThreadedComments xmlns="http://schemas.microsoft.com/office/spreadsheetml/2018/threadedcomments" xmlns:x="http://schemas.openxmlformats.org/spreadsheetml/2006/main">
  <threadedComment ref="H5" dT="2023-10-04T17:44:34.98" personId="{DEC134B9-DB79-5140-AB6C-A337BF10BF3E}" id="{2761CF29-2195-479B-9ECD-2F42DE4699F2}">
    <text xml:space="preserve">Perdida anual de la generación de energía
</text>
  </threadedComment>
  <threadedComment ref="D6" dT="2023-10-04T17:40:42.75" personId="{DEC134B9-DB79-5140-AB6C-A337BF10BF3E}" id="{FF294B39-4226-4C20-86E1-5AB5DFD077E1}">
    <text>Simulación con probabilidad por encima del 90%</text>
  </threadedComment>
  <threadedComment ref="L7" dT="2023-10-04T17:43:25.69" personId="{DEC134B9-DB79-5140-AB6C-A337BF10BF3E}" id="{45CBC439-4458-4024-A9E6-F6D902DDCB16}">
    <text>Incluye Mantenimiento, seguridad, supervisión y administración de la SPV.</text>
  </threadedComment>
  <threadedComment ref="L10" dT="2023-10-04T17:43:51.20" personId="{DEC134B9-DB79-5140-AB6C-A337BF10BF3E}" id="{8C3AF9DC-FEF1-4D6A-9CED-B142101BA907}">
    <text xml:space="preserve">Arrendamiento + IVA
</text>
  </threadedComment>
  <threadedComment ref="D11" dT="2023-10-04T17:43:25.69" personId="{DEC134B9-DB79-5140-AB6C-A337BF10BF3E}" id="{D46C4C4E-9780-4FBD-8E28-D8247748E750}">
    <text>Incluye Mantenimiento, seguridad, supervisión y administración de la SPV.</text>
  </threadedComment>
  <threadedComment ref="D13" dT="2023-10-04T17:43:51.20" personId="{DEC134B9-DB79-5140-AB6C-A337BF10BF3E}" id="{DFC5DBAE-E93B-46F0-B78F-F540E65C135A}">
    <text xml:space="preserve">Arrendamiento + IVA
</text>
  </threadedComment>
  <threadedComment ref="H14" dT="2023-10-04T17:47:55.93" personId="{DEC134B9-DB79-5140-AB6C-A337BF10BF3E}" id="{BB289CA0-A667-4C7A-B731-341D4A7D3C7A}">
    <text>Para el cálculo del LCOE</text>
  </threadedComment>
  <threadedComment ref="D34" dT="2023-10-04T17:38:39.79" personId="{DEC134B9-DB79-5140-AB6C-A337BF10BF3E}" id="{234C2A3D-C773-4CBB-B6E5-6D7F65669471}">
    <text>Precio Bolsa + 0,5*Pérdidas</text>
  </threadedComment>
  <threadedComment ref="F34" dT="2023-10-04T17:48:49.73" personId="{DEC134B9-DB79-5140-AB6C-A337BF10BF3E}" id="{9EEB7BAB-DDD8-456A-866E-B88E6DE02C76}">
    <text>El precio Base ofrecido por la comercializadora actualizado al IPC para el año en análisis.</text>
  </threadedComment>
  <threadedComment ref="D57" dT="2023-10-04T18:35:12.54" personId="{DEC134B9-DB79-5140-AB6C-A337BF10BF3E}" id="{BEBD9C12-2354-4108-8BE3-CB58019635D5}">
    <text xml:space="preserve">Le sumo el beneficio neto de renta para Energía Renovable porque los impuestos operacionales no lo tuvieron en cuenta al restar. </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BC146-BC4C-0946-AFAE-3C099EEA6C02}">
  <dimension ref="A1:AK131"/>
  <sheetViews>
    <sheetView showGridLines="0" topLeftCell="A7" zoomScale="80" zoomScaleNormal="90" workbookViewId="0">
      <pane xSplit="2" topLeftCell="C1" activePane="topRight" state="frozen"/>
      <selection activeCell="B40" sqref="B40"/>
      <selection pane="topRight" activeCell="D21" sqref="D21"/>
    </sheetView>
  </sheetViews>
  <sheetFormatPr defaultColWidth="10" defaultRowHeight="14.6" x14ac:dyDescent="0.4"/>
  <cols>
    <col min="1" max="1" width="3" style="86" customWidth="1"/>
    <col min="2" max="2" width="36" style="86" customWidth="1"/>
    <col min="3" max="4" width="18.5" style="86" customWidth="1"/>
    <col min="5" max="5" width="21" style="86" customWidth="1"/>
    <col min="6" max="6" width="36.5" style="86" customWidth="1"/>
    <col min="7" max="7" width="19.5" style="86" bestFit="1" customWidth="1"/>
    <col min="8" max="8" width="19.85546875" style="86" customWidth="1"/>
    <col min="9" max="9" width="20" style="86" customWidth="1"/>
    <col min="10" max="10" width="36.85546875" style="86" customWidth="1"/>
    <col min="11" max="13" width="18.5" style="86" customWidth="1"/>
    <col min="14" max="14" width="29.5" style="86" customWidth="1"/>
    <col min="15" max="20" width="14.35546875" style="86" customWidth="1"/>
    <col min="21" max="28" width="18.5" style="86" customWidth="1"/>
    <col min="29" max="33" width="18" style="86" customWidth="1"/>
    <col min="34" max="34" width="15" style="86" bestFit="1" customWidth="1"/>
    <col min="35" max="16384" width="10" style="86"/>
  </cols>
  <sheetData>
    <row r="1" spans="1:30" ht="19" customHeight="1" x14ac:dyDescent="0.4">
      <c r="A1" s="1"/>
      <c r="B1" s="1"/>
      <c r="C1" s="348" t="s">
        <v>0</v>
      </c>
      <c r="D1" s="348"/>
      <c r="E1" s="348"/>
      <c r="F1" s="348"/>
      <c r="G1" s="348"/>
      <c r="H1" s="348"/>
    </row>
    <row r="2" spans="1:30" ht="19" customHeight="1" thickBot="1" x14ac:dyDescent="0.45">
      <c r="A2" s="1"/>
      <c r="B2" s="1"/>
      <c r="C2" s="349"/>
      <c r="D2" s="349"/>
      <c r="E2" s="349"/>
      <c r="F2" s="349"/>
      <c r="G2" s="349"/>
      <c r="H2" s="349"/>
    </row>
    <row r="3" spans="1:30" ht="19" customHeight="1" thickBot="1" x14ac:dyDescent="0.45">
      <c r="A3" s="1"/>
      <c r="B3" s="1"/>
      <c r="J3" s="350" t="s">
        <v>1</v>
      </c>
      <c r="K3" s="350"/>
      <c r="L3" s="350"/>
      <c r="O3" s="351"/>
      <c r="P3" s="351"/>
      <c r="Q3" s="351"/>
    </row>
    <row r="4" spans="1:30" ht="18" customHeight="1" thickBot="1" x14ac:dyDescent="0.45">
      <c r="B4" s="347" t="s">
        <v>2</v>
      </c>
      <c r="C4" s="347"/>
      <c r="D4" s="347"/>
      <c r="F4" s="347" t="s">
        <v>3</v>
      </c>
      <c r="G4" s="347"/>
      <c r="H4" s="347"/>
      <c r="J4" s="90" t="s">
        <v>4</v>
      </c>
      <c r="K4" s="151" t="s">
        <v>5</v>
      </c>
      <c r="L4" s="1">
        <v>1373</v>
      </c>
    </row>
    <row r="5" spans="1:30" ht="18" customHeight="1" x14ac:dyDescent="0.4">
      <c r="B5" s="90" t="s">
        <v>4</v>
      </c>
      <c r="C5" s="151" t="s">
        <v>5</v>
      </c>
      <c r="D5" s="1">
        <v>1379</v>
      </c>
      <c r="F5" s="90" t="s">
        <v>6</v>
      </c>
      <c r="G5" s="151" t="s">
        <v>7</v>
      </c>
      <c r="H5" s="94">
        <f>(D6*(100%-H8))/29</f>
        <v>9758.4827586206902</v>
      </c>
      <c r="J5" s="90" t="s">
        <v>8</v>
      </c>
      <c r="K5" s="151" t="s">
        <v>9</v>
      </c>
      <c r="L5" s="91">
        <f>D7*D5</f>
        <v>2246000</v>
      </c>
      <c r="M5" s="244"/>
      <c r="N5" s="85" t="s">
        <v>324</v>
      </c>
      <c r="O5" s="119" t="s">
        <v>10</v>
      </c>
      <c r="P5" s="119" t="s">
        <v>11</v>
      </c>
      <c r="Q5" s="119" t="s">
        <v>12</v>
      </c>
      <c r="R5" s="119" t="s">
        <v>13</v>
      </c>
      <c r="S5" s="119" t="s">
        <v>14</v>
      </c>
      <c r="T5" s="119" t="s">
        <v>15</v>
      </c>
      <c r="AD5" s="147"/>
    </row>
    <row r="6" spans="1:30" ht="18" customHeight="1" x14ac:dyDescent="0.4">
      <c r="B6" s="90" t="s">
        <v>8</v>
      </c>
      <c r="C6" s="151" t="s">
        <v>9</v>
      </c>
      <c r="D6" s="91">
        <v>2246000</v>
      </c>
      <c r="E6" s="151"/>
      <c r="F6" s="90" t="s">
        <v>17</v>
      </c>
      <c r="G6" s="151" t="s">
        <v>18</v>
      </c>
      <c r="H6" s="94">
        <f>+H9*D8</f>
        <v>3750000000</v>
      </c>
      <c r="J6" s="90" t="s">
        <v>19</v>
      </c>
      <c r="K6" s="151" t="s">
        <v>18</v>
      </c>
      <c r="L6" s="93">
        <f>D8</f>
        <v>3750000000</v>
      </c>
      <c r="N6" s="85" t="s">
        <v>20</v>
      </c>
      <c r="O6" s="257">
        <f>D40</f>
        <v>315</v>
      </c>
      <c r="P6" s="257">
        <f t="shared" ref="P6:T6" si="0">E40</f>
        <v>310</v>
      </c>
      <c r="Q6" s="257">
        <f t="shared" si="0"/>
        <v>289</v>
      </c>
      <c r="R6" s="257">
        <f t="shared" si="0"/>
        <v>322</v>
      </c>
      <c r="S6" s="257">
        <f t="shared" si="0"/>
        <v>316</v>
      </c>
      <c r="T6" s="257">
        <f t="shared" si="0"/>
        <v>314</v>
      </c>
      <c r="W6" s="147"/>
      <c r="X6" s="264"/>
      <c r="AD6" s="147"/>
    </row>
    <row r="7" spans="1:30" x14ac:dyDescent="0.4">
      <c r="B7" s="90" t="s">
        <v>23</v>
      </c>
      <c r="C7" s="151" t="s">
        <v>24</v>
      </c>
      <c r="D7" s="92">
        <f>D6/D5</f>
        <v>1628.7164612037709</v>
      </c>
      <c r="E7" s="265">
        <v>1</v>
      </c>
      <c r="F7" s="90" t="s">
        <v>25</v>
      </c>
      <c r="G7" s="151" t="s">
        <v>26</v>
      </c>
      <c r="H7" s="93">
        <f>16000000</f>
        <v>16000000</v>
      </c>
      <c r="I7" s="113"/>
      <c r="J7" s="90" t="s">
        <v>27</v>
      </c>
      <c r="K7" s="151" t="s">
        <v>26</v>
      </c>
      <c r="L7" s="94">
        <v>57400000</v>
      </c>
      <c r="N7" s="85" t="s">
        <v>28</v>
      </c>
      <c r="O7" s="266">
        <f t="shared" ref="O7:T7" si="1">D41/1000000</f>
        <v>471.66</v>
      </c>
      <c r="P7" s="266">
        <f t="shared" si="1"/>
        <v>1386.4697406896557</v>
      </c>
      <c r="Q7" s="266">
        <f t="shared" si="1"/>
        <v>1289.7273954482762</v>
      </c>
      <c r="R7" s="266">
        <f t="shared" si="1"/>
        <v>1433.8550742068969</v>
      </c>
      <c r="S7" s="266">
        <f t="shared" si="1"/>
        <v>1404.0535972413797</v>
      </c>
      <c r="T7" s="266">
        <f t="shared" si="1"/>
        <v>1392.1030184827589</v>
      </c>
      <c r="W7" s="147"/>
      <c r="X7" s="264"/>
      <c r="AD7" s="87"/>
    </row>
    <row r="8" spans="1:30" x14ac:dyDescent="0.4">
      <c r="B8" s="90" t="s">
        <v>30</v>
      </c>
      <c r="C8" s="151" t="s">
        <v>18</v>
      </c>
      <c r="D8" s="93">
        <v>3750000000</v>
      </c>
      <c r="E8" s="229"/>
      <c r="F8" s="90" t="s">
        <v>31</v>
      </c>
      <c r="G8" s="151" t="s">
        <v>32</v>
      </c>
      <c r="H8" s="144">
        <v>0.874</v>
      </c>
      <c r="I8" s="99"/>
      <c r="N8" s="85" t="s">
        <v>33</v>
      </c>
      <c r="O8" s="266">
        <f>(D42+D43)/1000000</f>
        <v>-52.481333333333332</v>
      </c>
      <c r="P8" s="266">
        <f t="shared" ref="P8:T8" si="2">(E42+E43)/1000000</f>
        <v>-166.12738124137931</v>
      </c>
      <c r="Q8" s="266">
        <f t="shared" si="2"/>
        <v>-178.41295209888622</v>
      </c>
      <c r="R8" s="266">
        <f t="shared" si="2"/>
        <v>-187.24898769344074</v>
      </c>
      <c r="S8" s="266">
        <f t="shared" si="2"/>
        <v>-196.52259446720345</v>
      </c>
      <c r="T8" s="266">
        <f t="shared" si="2"/>
        <v>-206.25543944910885</v>
      </c>
      <c r="W8" s="87"/>
      <c r="X8" s="264"/>
      <c r="AD8" s="87"/>
    </row>
    <row r="9" spans="1:30" x14ac:dyDescent="0.4">
      <c r="B9" s="90" t="s">
        <v>35</v>
      </c>
      <c r="C9" s="151" t="s">
        <v>18</v>
      </c>
      <c r="D9" s="232"/>
      <c r="E9" s="94"/>
      <c r="F9" s="90" t="s">
        <v>36</v>
      </c>
      <c r="G9" s="151" t="s">
        <v>32</v>
      </c>
      <c r="H9" s="247">
        <v>1</v>
      </c>
      <c r="I9" s="99"/>
      <c r="J9" s="90" t="s">
        <v>37</v>
      </c>
      <c r="K9" s="151"/>
      <c r="L9" s="94">
        <v>10913000</v>
      </c>
      <c r="N9" s="85" t="s">
        <v>38</v>
      </c>
      <c r="O9" s="266">
        <f t="shared" ref="O9:T9" si="3">(D45+D46+D48+D47)/1000000</f>
        <v>-29.162960000000002</v>
      </c>
      <c r="P9" s="266">
        <f t="shared" si="3"/>
        <v>-100.64730547862072</v>
      </c>
      <c r="Q9" s="266">
        <f t="shared" si="3"/>
        <v>-96.379984145103478</v>
      </c>
      <c r="R9" s="266">
        <f t="shared" si="3"/>
        <v>-105.65889665558623</v>
      </c>
      <c r="S9" s="266">
        <f t="shared" si="3"/>
        <v>-105.25816457051727</v>
      </c>
      <c r="T9" s="266">
        <f t="shared" si="3"/>
        <v>-105.92049031628451</v>
      </c>
      <c r="W9" s="87"/>
      <c r="X9" s="264"/>
      <c r="AD9" s="147"/>
    </row>
    <row r="10" spans="1:30" ht="16" customHeight="1" x14ac:dyDescent="0.4">
      <c r="B10" s="90" t="s">
        <v>40</v>
      </c>
      <c r="C10" s="151" t="s">
        <v>41</v>
      </c>
      <c r="D10" s="87">
        <f>D8/D5</f>
        <v>2719361.8564176941</v>
      </c>
      <c r="E10" s="147"/>
      <c r="F10" s="90" t="s">
        <v>42</v>
      </c>
      <c r="G10" s="151" t="s">
        <v>32</v>
      </c>
      <c r="H10" s="247">
        <v>0.35</v>
      </c>
      <c r="I10" s="99"/>
      <c r="J10" s="90"/>
      <c r="K10" s="233" t="s">
        <v>26</v>
      </c>
      <c r="L10" s="94">
        <f>20000000*1.19</f>
        <v>23800000</v>
      </c>
      <c r="M10" s="84"/>
      <c r="N10" s="85" t="s">
        <v>43</v>
      </c>
      <c r="O10" s="266">
        <f t="shared" ref="O10:T10" si="4">D49/1000000</f>
        <v>390.01570666666669</v>
      </c>
      <c r="P10" s="266">
        <f t="shared" si="4"/>
        <v>1119.6950539696556</v>
      </c>
      <c r="Q10" s="266">
        <f t="shared" si="4"/>
        <v>1014.9344592042866</v>
      </c>
      <c r="R10" s="266">
        <f t="shared" si="4"/>
        <v>1140.9471898578702</v>
      </c>
      <c r="S10" s="266">
        <f t="shared" si="4"/>
        <v>1102.2728382036594</v>
      </c>
      <c r="T10" s="266">
        <f t="shared" si="4"/>
        <v>1079.9270887173657</v>
      </c>
      <c r="W10" s="147"/>
    </row>
    <row r="11" spans="1:30" ht="17.25" customHeight="1" x14ac:dyDescent="0.4">
      <c r="B11" s="90" t="s">
        <v>45</v>
      </c>
      <c r="C11" s="151" t="s">
        <v>26</v>
      </c>
      <c r="D11" s="94">
        <f>63000000</f>
        <v>63000000</v>
      </c>
      <c r="F11" s="90" t="s">
        <v>46</v>
      </c>
      <c r="G11" s="151" t="s">
        <v>47</v>
      </c>
      <c r="H11" s="231">
        <v>6.0000000000000001E-3</v>
      </c>
      <c r="I11" s="99"/>
      <c r="J11" s="90" t="s">
        <v>48</v>
      </c>
      <c r="K11" s="151" t="s">
        <v>47</v>
      </c>
      <c r="L11" s="230">
        <v>4150</v>
      </c>
      <c r="M11" s="238"/>
      <c r="N11" s="85" t="s">
        <v>21</v>
      </c>
      <c r="O11" s="266">
        <f t="shared" ref="O11:T11" si="5">+(D67)/1000000</f>
        <v>331.51335066666667</v>
      </c>
      <c r="P11" s="266">
        <f t="shared" si="5"/>
        <v>951.74079587420738</v>
      </c>
      <c r="Q11" s="266">
        <f t="shared" si="5"/>
        <v>862.69429032364371</v>
      </c>
      <c r="R11" s="266">
        <f t="shared" si="5"/>
        <v>969.80511137918961</v>
      </c>
      <c r="S11" s="266">
        <f t="shared" si="5"/>
        <v>936.9319124731104</v>
      </c>
      <c r="T11" s="266">
        <f t="shared" si="5"/>
        <v>917.93802540976094</v>
      </c>
      <c r="X11" s="99"/>
    </row>
    <row r="12" spans="1:30" ht="17.25" customHeight="1" x14ac:dyDescent="0.4">
      <c r="B12" s="90"/>
      <c r="C12" s="151"/>
      <c r="D12" s="94"/>
      <c r="E12" s="113"/>
      <c r="F12" s="90" t="s">
        <v>49</v>
      </c>
      <c r="G12" s="151" t="s">
        <v>32</v>
      </c>
      <c r="H12" s="249">
        <v>0.15</v>
      </c>
      <c r="I12" s="99"/>
      <c r="J12" s="90" t="s">
        <v>50</v>
      </c>
      <c r="K12" s="151" t="s">
        <v>32</v>
      </c>
      <c r="L12" s="243">
        <f>H17</f>
        <v>0.23169218181495355</v>
      </c>
      <c r="M12" s="114"/>
      <c r="N12" s="85" t="s">
        <v>51</v>
      </c>
      <c r="O12" s="266">
        <f>+(D69)/1000000</f>
        <v>0</v>
      </c>
      <c r="P12" s="266">
        <f t="shared" ref="P12:T12" si="6">+(E69)/1000000</f>
        <v>0</v>
      </c>
      <c r="Q12" s="266">
        <f t="shared" si="6"/>
        <v>0</v>
      </c>
      <c r="R12" s="266">
        <f t="shared" si="6"/>
        <v>0</v>
      </c>
      <c r="S12" s="266">
        <f t="shared" si="6"/>
        <v>0</v>
      </c>
      <c r="T12" s="266">
        <f t="shared" si="6"/>
        <v>0</v>
      </c>
    </row>
    <row r="13" spans="1:30" x14ac:dyDescent="0.4">
      <c r="B13" s="90" t="s">
        <v>52</v>
      </c>
      <c r="C13" s="233" t="s">
        <v>53</v>
      </c>
      <c r="D13" s="247">
        <v>0.05</v>
      </c>
      <c r="E13" s="113"/>
      <c r="F13" s="90" t="s">
        <v>48</v>
      </c>
      <c r="G13" s="151" t="s">
        <v>47</v>
      </c>
      <c r="H13" s="230">
        <v>4100</v>
      </c>
      <c r="I13" s="99"/>
      <c r="J13" s="90"/>
      <c r="K13" s="151"/>
      <c r="L13" s="243"/>
      <c r="N13" s="85" t="s">
        <v>54</v>
      </c>
      <c r="O13" s="266">
        <f>D70/1000000</f>
        <v>0</v>
      </c>
      <c r="P13" s="266">
        <f t="shared" ref="P13:T13" si="7">E70/1000000</f>
        <v>0</v>
      </c>
      <c r="Q13" s="266">
        <f t="shared" si="7"/>
        <v>0</v>
      </c>
      <c r="R13" s="266">
        <f t="shared" si="7"/>
        <v>0</v>
      </c>
      <c r="S13" s="266">
        <f t="shared" si="7"/>
        <v>0</v>
      </c>
      <c r="T13" s="266">
        <f t="shared" si="7"/>
        <v>0</v>
      </c>
    </row>
    <row r="14" spans="1:30" x14ac:dyDescent="0.4">
      <c r="B14" s="90" t="s">
        <v>55</v>
      </c>
      <c r="C14" s="233" t="s">
        <v>56</v>
      </c>
      <c r="D14" s="94">
        <f>7</f>
        <v>7</v>
      </c>
      <c r="E14" s="246"/>
      <c r="F14" s="90" t="s">
        <v>57</v>
      </c>
      <c r="G14" s="151" t="s">
        <v>32</v>
      </c>
      <c r="H14" s="231">
        <v>0.14099999999999999</v>
      </c>
      <c r="I14" s="99"/>
      <c r="J14" s="90"/>
      <c r="K14" s="151"/>
      <c r="L14" s="243"/>
      <c r="N14" s="85" t="s">
        <v>58</v>
      </c>
      <c r="O14" s="266">
        <f t="shared" ref="O14:T14" si="8">+(D72)/1000000</f>
        <v>331.51335066666667</v>
      </c>
      <c r="P14" s="266">
        <f t="shared" si="8"/>
        <v>951.74079587420738</v>
      </c>
      <c r="Q14" s="266">
        <f t="shared" si="8"/>
        <v>862.69429032364371</v>
      </c>
      <c r="R14" s="266">
        <f t="shared" si="8"/>
        <v>969.80511137918961</v>
      </c>
      <c r="S14" s="266">
        <f t="shared" si="8"/>
        <v>936.9319124731104</v>
      </c>
      <c r="T14" s="266">
        <f t="shared" si="8"/>
        <v>917.93802540976094</v>
      </c>
      <c r="X14" s="147"/>
    </row>
    <row r="15" spans="1:30" ht="15.9" x14ac:dyDescent="0.45">
      <c r="B15" s="90" t="s">
        <v>59</v>
      </c>
      <c r="C15" s="151" t="s">
        <v>18</v>
      </c>
      <c r="D15" s="232">
        <f>122000000*E7</f>
        <v>122000000</v>
      </c>
      <c r="I15" s="99"/>
      <c r="J15" s="90" t="s">
        <v>60</v>
      </c>
      <c r="N15"/>
      <c r="O15"/>
    </row>
    <row r="16" spans="1:30" ht="15" thickBot="1" x14ac:dyDescent="0.45">
      <c r="B16" s="90" t="s">
        <v>61</v>
      </c>
      <c r="C16" s="151" t="s">
        <v>62</v>
      </c>
      <c r="D16" s="94">
        <f>0.5%*H6</f>
        <v>18750000</v>
      </c>
      <c r="F16" s="98" t="s">
        <v>63</v>
      </c>
      <c r="G16" s="98"/>
      <c r="H16" s="98"/>
      <c r="I16" s="99"/>
      <c r="K16" s="114"/>
      <c r="L16" s="114"/>
      <c r="M16" s="114" t="s">
        <v>64</v>
      </c>
      <c r="N16" s="85" t="s">
        <v>65</v>
      </c>
      <c r="O16" s="258">
        <f>D8</f>
        <v>3750000000</v>
      </c>
    </row>
    <row r="17" spans="1:33" ht="15" thickBot="1" x14ac:dyDescent="0.45">
      <c r="B17" s="347" t="s">
        <v>66</v>
      </c>
      <c r="C17" s="347"/>
      <c r="D17" s="347"/>
      <c r="F17" s="85" t="s">
        <v>67</v>
      </c>
      <c r="G17" s="119" t="s">
        <v>32</v>
      </c>
      <c r="H17" s="234">
        <f>IF(D19="No",IRR(C67:AG67),"N/A")</f>
        <v>0.23169218181495355</v>
      </c>
      <c r="I17" s="238"/>
      <c r="N17" s="85" t="s">
        <v>68</v>
      </c>
      <c r="O17" s="262">
        <f>H17</f>
        <v>0.23169218181495355</v>
      </c>
      <c r="Q17" s="261"/>
    </row>
    <row r="18" spans="1:33" x14ac:dyDescent="0.4">
      <c r="B18" s="90" t="s">
        <v>69</v>
      </c>
      <c r="C18" s="151"/>
      <c r="D18" s="95">
        <v>5</v>
      </c>
      <c r="F18" s="85" t="s">
        <v>70</v>
      </c>
      <c r="G18" s="153" t="s">
        <v>18</v>
      </c>
      <c r="H18" s="235">
        <f>IF(D19="No",NPV(H14,D67:AG67)+C67,"N/A")</f>
        <v>3279292978.0104246</v>
      </c>
      <c r="N18" s="85"/>
      <c r="O18" s="263"/>
    </row>
    <row r="19" spans="1:33" x14ac:dyDescent="0.4">
      <c r="B19" s="90" t="s">
        <v>71</v>
      </c>
      <c r="C19" s="151" t="s">
        <v>72</v>
      </c>
      <c r="D19" s="152" t="s">
        <v>73</v>
      </c>
      <c r="F19" s="85" t="s">
        <v>74</v>
      </c>
      <c r="G19" s="119" t="s">
        <v>32</v>
      </c>
      <c r="H19" s="234" t="str">
        <f>IF(D19="Si",IRR(C72:AG72),"N/A")</f>
        <v>N/A</v>
      </c>
      <c r="N19" s="85"/>
      <c r="O19" s="262"/>
    </row>
    <row r="20" spans="1:33" x14ac:dyDescent="0.4">
      <c r="B20" s="90" t="s">
        <v>75</v>
      </c>
      <c r="C20" s="151" t="s">
        <v>32</v>
      </c>
      <c r="D20" s="96">
        <v>0.04</v>
      </c>
      <c r="F20" s="85" t="s">
        <v>76</v>
      </c>
      <c r="G20" s="119" t="s">
        <v>18</v>
      </c>
      <c r="H20" s="235" t="str">
        <f>IF(D19="Si",NPV(12%,D72:AG72)+C72,"N/A")</f>
        <v>N/A</v>
      </c>
      <c r="N20" s="85"/>
      <c r="O20" s="259"/>
    </row>
    <row r="21" spans="1:33" x14ac:dyDescent="0.4">
      <c r="B21" s="90" t="s">
        <v>60</v>
      </c>
      <c r="C21" s="151" t="s">
        <v>18</v>
      </c>
      <c r="D21" s="148">
        <f>+D8*70%</f>
        <v>2625000000</v>
      </c>
      <c r="E21" s="87"/>
      <c r="F21" s="85" t="s">
        <v>77</v>
      </c>
      <c r="G21" s="119" t="s">
        <v>32</v>
      </c>
      <c r="N21" s="85"/>
      <c r="O21" s="260"/>
    </row>
    <row r="22" spans="1:33" x14ac:dyDescent="0.4">
      <c r="B22" s="90" t="s">
        <v>78</v>
      </c>
      <c r="C22" s="151" t="s">
        <v>72</v>
      </c>
      <c r="D22" s="152" t="s">
        <v>79</v>
      </c>
      <c r="E22" s="87"/>
      <c r="F22" s="85" t="s">
        <v>80</v>
      </c>
      <c r="G22" s="119" t="s">
        <v>47</v>
      </c>
      <c r="H22" s="235">
        <f>C88</f>
        <v>175.37549506452382</v>
      </c>
    </row>
    <row r="23" spans="1:33" ht="12" customHeight="1" x14ac:dyDescent="0.4">
      <c r="B23" s="85"/>
      <c r="C23" s="119"/>
      <c r="D23" s="86">
        <v>300</v>
      </c>
      <c r="F23" s="85"/>
      <c r="G23" s="119"/>
      <c r="H23" s="239">
        <v>150</v>
      </c>
      <c r="L23" s="86">
        <v>70</v>
      </c>
    </row>
    <row r="24" spans="1:33" ht="17.25" customHeight="1" thickBot="1" x14ac:dyDescent="0.5">
      <c r="B24" s="142" t="s">
        <v>81</v>
      </c>
      <c r="C24" s="154"/>
      <c r="D24" s="155">
        <v>7.0000000000000007E-2</v>
      </c>
      <c r="E24" s="155">
        <v>0.05</v>
      </c>
      <c r="F24" s="155">
        <v>0.05</v>
      </c>
      <c r="G24" s="155">
        <v>0.05</v>
      </c>
      <c r="H24" s="155">
        <v>0.05</v>
      </c>
      <c r="I24" s="155">
        <v>0.05</v>
      </c>
      <c r="J24" s="155">
        <v>0.05</v>
      </c>
      <c r="K24" s="155">
        <v>0.05</v>
      </c>
      <c r="L24" s="155">
        <v>0.05</v>
      </c>
      <c r="M24" s="155">
        <v>0.05</v>
      </c>
      <c r="N24" s="155">
        <v>0.05</v>
      </c>
      <c r="O24" s="155">
        <v>0.05</v>
      </c>
      <c r="P24" s="155">
        <v>0.05</v>
      </c>
      <c r="Q24" s="155">
        <v>0.05</v>
      </c>
      <c r="R24" s="155">
        <v>0.05</v>
      </c>
      <c r="S24" s="155">
        <v>0.05</v>
      </c>
      <c r="T24" s="155">
        <v>0.05</v>
      </c>
      <c r="U24" s="155">
        <v>0.05</v>
      </c>
      <c r="V24" s="155">
        <v>0.05</v>
      </c>
      <c r="W24" s="155">
        <v>0.05</v>
      </c>
      <c r="X24" s="155">
        <v>0.05</v>
      </c>
      <c r="Y24" s="155">
        <v>0.05</v>
      </c>
      <c r="Z24" s="155">
        <v>0.05</v>
      </c>
      <c r="AA24" s="155">
        <v>0.05</v>
      </c>
      <c r="AB24" s="155">
        <v>0.05</v>
      </c>
      <c r="AC24" s="155">
        <v>0.05</v>
      </c>
      <c r="AD24" s="155">
        <v>0.05</v>
      </c>
      <c r="AE24" s="155">
        <v>0.05</v>
      </c>
      <c r="AF24" s="155">
        <v>0.05</v>
      </c>
      <c r="AG24" s="155">
        <v>0.05</v>
      </c>
    </row>
    <row r="25" spans="1:33" ht="12" customHeight="1" x14ac:dyDescent="0.4">
      <c r="B25" s="85" t="s">
        <v>82</v>
      </c>
      <c r="C25" s="84"/>
      <c r="D25" s="227">
        <f>(1+D24)</f>
        <v>1.07</v>
      </c>
      <c r="E25" s="227">
        <f>D25*(1+E24)</f>
        <v>1.1235000000000002</v>
      </c>
      <c r="F25" s="227">
        <f t="shared" ref="F25:AG25" si="9">E25*(1+F24)</f>
        <v>1.1796750000000003</v>
      </c>
      <c r="G25" s="227">
        <f t="shared" si="9"/>
        <v>1.2386587500000004</v>
      </c>
      <c r="H25" s="227">
        <f t="shared" si="9"/>
        <v>1.3005916875000005</v>
      </c>
      <c r="I25" s="227">
        <f t="shared" si="9"/>
        <v>1.3656212718750007</v>
      </c>
      <c r="J25" s="227">
        <f>I25*(1+J24)</f>
        <v>1.4339023354687508</v>
      </c>
      <c r="K25" s="227">
        <f t="shared" si="9"/>
        <v>1.5055974522421884</v>
      </c>
      <c r="L25" s="227">
        <f t="shared" si="9"/>
        <v>1.580877324854298</v>
      </c>
      <c r="M25" s="227">
        <f t="shared" si="9"/>
        <v>1.6599211910970129</v>
      </c>
      <c r="N25" s="227">
        <f>M25*(1+N24)</f>
        <v>1.7429172506518635</v>
      </c>
      <c r="O25" s="227">
        <f t="shared" si="9"/>
        <v>1.8300631131844567</v>
      </c>
      <c r="P25" s="227">
        <f>O25*(1+P24)</f>
        <v>1.9215662688436796</v>
      </c>
      <c r="Q25" s="227">
        <f t="shared" si="9"/>
        <v>2.0176445822858637</v>
      </c>
      <c r="R25" s="227">
        <f t="shared" si="9"/>
        <v>2.118526811400157</v>
      </c>
      <c r="S25" s="227">
        <f t="shared" si="9"/>
        <v>2.2244531519701649</v>
      </c>
      <c r="T25" s="227">
        <f>S25*(1+T24)</f>
        <v>2.3356758095686732</v>
      </c>
      <c r="U25" s="227">
        <f t="shared" si="9"/>
        <v>2.4524596000471068</v>
      </c>
      <c r="V25" s="227">
        <f t="shared" si="9"/>
        <v>2.5750825800494623</v>
      </c>
      <c r="W25" s="227">
        <f t="shared" si="9"/>
        <v>2.7038367090519357</v>
      </c>
      <c r="X25" s="227">
        <f t="shared" si="9"/>
        <v>2.8390285445045325</v>
      </c>
      <c r="Y25" s="227">
        <f>X25*(1+Y24)</f>
        <v>2.9809799717297594</v>
      </c>
      <c r="Z25" s="227">
        <f t="shared" si="9"/>
        <v>3.1300289703162476</v>
      </c>
      <c r="AA25" s="227">
        <f t="shared" si="9"/>
        <v>3.2865304188320601</v>
      </c>
      <c r="AB25" s="227">
        <f t="shared" si="9"/>
        <v>3.4508569397736633</v>
      </c>
      <c r="AC25" s="227">
        <f t="shared" si="9"/>
        <v>3.6233997867623464</v>
      </c>
      <c r="AD25" s="227">
        <f t="shared" si="9"/>
        <v>3.8045697761004638</v>
      </c>
      <c r="AE25" s="227">
        <f t="shared" si="9"/>
        <v>3.9947982649054872</v>
      </c>
      <c r="AF25" s="227">
        <f t="shared" si="9"/>
        <v>4.1945381781507614</v>
      </c>
      <c r="AG25" s="227">
        <f t="shared" si="9"/>
        <v>4.4042650870582998</v>
      </c>
    </row>
    <row r="26" spans="1:33" ht="14.25" customHeight="1" x14ac:dyDescent="0.4">
      <c r="B26" s="85" t="s">
        <v>83</v>
      </c>
      <c r="C26" s="84"/>
      <c r="D26" s="227">
        <v>312.89999999999998</v>
      </c>
      <c r="E26" s="227">
        <v>309.89999999999998</v>
      </c>
      <c r="F26" s="227">
        <v>304.39999999999998</v>
      </c>
      <c r="G26" s="227">
        <v>300.7</v>
      </c>
      <c r="H26" s="227">
        <v>301.10000000000002</v>
      </c>
      <c r="I26" s="227">
        <v>314.5</v>
      </c>
      <c r="J26" s="227">
        <v>193</v>
      </c>
      <c r="K26" s="227">
        <v>200</v>
      </c>
      <c r="L26" s="227">
        <v>311.2</v>
      </c>
      <c r="M26" s="227">
        <v>319.5</v>
      </c>
      <c r="N26" s="227">
        <v>322.2</v>
      </c>
      <c r="O26" s="227">
        <v>321.7</v>
      </c>
      <c r="P26" s="227">
        <v>325.5</v>
      </c>
      <c r="Q26" s="227">
        <v>327.8</v>
      </c>
      <c r="R26" s="227">
        <v>325.89999999999998</v>
      </c>
      <c r="S26" s="227">
        <v>320.7</v>
      </c>
      <c r="T26" s="227">
        <v>319.39999999999998</v>
      </c>
      <c r="U26" s="227">
        <v>315.10000000000002</v>
      </c>
      <c r="V26" s="227">
        <v>308.39999999999998</v>
      </c>
      <c r="W26" s="227">
        <v>306.5</v>
      </c>
      <c r="X26" s="227">
        <v>308.3</v>
      </c>
      <c r="Y26" s="227">
        <v>317.10000000000002</v>
      </c>
      <c r="Z26" s="227">
        <v>316.39999999999998</v>
      </c>
      <c r="AA26" s="227">
        <v>309.39999999999998</v>
      </c>
      <c r="AB26" s="227">
        <v>307.3</v>
      </c>
      <c r="AC26" s="227">
        <v>302.5</v>
      </c>
      <c r="AD26" s="227">
        <v>302.5</v>
      </c>
      <c r="AE26" s="227">
        <v>302.5</v>
      </c>
      <c r="AF26" s="227">
        <v>302.5</v>
      </c>
      <c r="AG26" s="227">
        <v>302.5</v>
      </c>
    </row>
    <row r="27" spans="1:33" s="100" customFormat="1" ht="16.3" thickBot="1" x14ac:dyDescent="0.5">
      <c r="A27" s="86"/>
      <c r="B27" s="142" t="s">
        <v>84</v>
      </c>
      <c r="C27" s="143"/>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row>
    <row r="28" spans="1:33" s="100" customFormat="1" ht="15.9" x14ac:dyDescent="0.45">
      <c r="A28" s="86"/>
      <c r="B28" s="101" t="s">
        <v>85</v>
      </c>
      <c r="C28" s="100">
        <v>0</v>
      </c>
      <c r="D28" s="100">
        <v>1</v>
      </c>
      <c r="E28" s="100">
        <v>2</v>
      </c>
      <c r="F28" s="100">
        <v>3</v>
      </c>
      <c r="G28" s="100">
        <v>4</v>
      </c>
      <c r="H28" s="100">
        <v>5</v>
      </c>
      <c r="I28" s="100">
        <v>6</v>
      </c>
      <c r="J28" s="100">
        <v>7</v>
      </c>
      <c r="K28" s="100">
        <v>8</v>
      </c>
      <c r="L28" s="100">
        <v>9</v>
      </c>
      <c r="M28" s="100">
        <v>10</v>
      </c>
      <c r="N28" s="100">
        <v>11</v>
      </c>
      <c r="O28" s="100">
        <v>12</v>
      </c>
      <c r="P28" s="100">
        <v>13</v>
      </c>
      <c r="Q28" s="100">
        <v>14</v>
      </c>
      <c r="R28" s="100">
        <v>15</v>
      </c>
      <c r="S28" s="100">
        <v>16</v>
      </c>
      <c r="T28" s="100">
        <v>17</v>
      </c>
      <c r="U28" s="100">
        <v>18</v>
      </c>
      <c r="V28" s="100">
        <v>19</v>
      </c>
      <c r="W28" s="100">
        <v>20</v>
      </c>
      <c r="X28" s="100">
        <v>21</v>
      </c>
      <c r="Y28" s="100">
        <v>22</v>
      </c>
      <c r="Z28" s="100">
        <v>23</v>
      </c>
      <c r="AA28" s="100">
        <v>24</v>
      </c>
      <c r="AB28" s="100">
        <v>25</v>
      </c>
      <c r="AC28" s="100">
        <v>26</v>
      </c>
      <c r="AD28" s="100">
        <v>27</v>
      </c>
      <c r="AE28" s="100">
        <v>28</v>
      </c>
      <c r="AF28" s="100">
        <v>29</v>
      </c>
      <c r="AG28" s="100">
        <v>30</v>
      </c>
    </row>
    <row r="29" spans="1:33" ht="15.9" x14ac:dyDescent="0.45">
      <c r="B29" s="86" t="s">
        <v>86</v>
      </c>
      <c r="C29" s="102">
        <f>-D8-D9</f>
        <v>-3750000000</v>
      </c>
      <c r="D29" s="102"/>
      <c r="E29" s="102"/>
      <c r="F29" s="102"/>
      <c r="G29" s="102"/>
      <c r="H29" s="102"/>
      <c r="I29" s="102"/>
      <c r="J29" s="102"/>
      <c r="K29" s="102"/>
      <c r="L29" s="102"/>
      <c r="M29" s="102">
        <f>-D15*(1+L24)^M28</f>
        <v>-198725144.46684787</v>
      </c>
      <c r="N29" s="102"/>
      <c r="O29" s="102"/>
      <c r="P29" s="102"/>
      <c r="Q29" s="102"/>
      <c r="R29" s="102"/>
      <c r="S29" s="102"/>
      <c r="T29" s="102"/>
      <c r="U29" s="102"/>
      <c r="V29" s="102"/>
      <c r="W29" s="102">
        <f>-D15*(1+V24)^W28</f>
        <v>-323702320.02761936</v>
      </c>
      <c r="X29" s="102"/>
      <c r="Y29" s="102"/>
      <c r="Z29" s="102"/>
      <c r="AA29" s="102"/>
      <c r="AB29" s="102"/>
      <c r="AC29" s="102"/>
      <c r="AD29" s="102"/>
      <c r="AE29" s="102"/>
      <c r="AF29" s="102"/>
      <c r="AG29" s="102"/>
    </row>
    <row r="30" spans="1:33" ht="15.9" x14ac:dyDescent="0.45">
      <c r="B30" s="110" t="s">
        <v>87</v>
      </c>
      <c r="C30" s="103"/>
      <c r="D30" s="105">
        <f>C30+D50</f>
        <v>-222866118.09523809</v>
      </c>
      <c r="E30" s="105">
        <f t="shared" ref="E30:AG30" si="10">D30+E50</f>
        <v>-862691863.22075558</v>
      </c>
      <c r="F30" s="105">
        <f t="shared" si="10"/>
        <v>-1442654411.3374908</v>
      </c>
      <c r="G30" s="105">
        <f t="shared" si="10"/>
        <v>-2094624234.1134167</v>
      </c>
      <c r="H30" s="105">
        <f t="shared" si="10"/>
        <v>-2724494427.3726506</v>
      </c>
      <c r="I30" s="105">
        <f t="shared" si="10"/>
        <v>-3341595620.9254313</v>
      </c>
      <c r="J30" s="105">
        <f>I30+J50</f>
        <v>-3742189965.3320227</v>
      </c>
      <c r="K30" s="105">
        <f t="shared" si="10"/>
        <v>-3750000000</v>
      </c>
      <c r="L30" s="105">
        <f t="shared" si="10"/>
        <v>-3750000000</v>
      </c>
      <c r="M30" s="105">
        <f t="shared" si="10"/>
        <v>-3750000000</v>
      </c>
      <c r="N30" s="105">
        <f>M30+N50</f>
        <v>-3750000000</v>
      </c>
      <c r="O30" s="105">
        <f t="shared" si="10"/>
        <v>-3750000000</v>
      </c>
      <c r="P30" s="105">
        <f>O30+P50</f>
        <v>-3750000000</v>
      </c>
      <c r="Q30" s="105">
        <f t="shared" si="10"/>
        <v>-3750000000</v>
      </c>
      <c r="R30" s="105">
        <f t="shared" si="10"/>
        <v>-3750000000</v>
      </c>
      <c r="S30" s="105">
        <f t="shared" si="10"/>
        <v>-3750000000</v>
      </c>
      <c r="T30" s="105">
        <f>S30+T50</f>
        <v>-3750000000</v>
      </c>
      <c r="U30" s="105">
        <f t="shared" si="10"/>
        <v>-3750000000</v>
      </c>
      <c r="V30" s="105">
        <f t="shared" si="10"/>
        <v>-3750000000</v>
      </c>
      <c r="W30" s="105">
        <f t="shared" si="10"/>
        <v>-3750000000</v>
      </c>
      <c r="X30" s="105">
        <f t="shared" si="10"/>
        <v>-3750000000</v>
      </c>
      <c r="Y30" s="105">
        <f>X30+Y50</f>
        <v>-3750000000</v>
      </c>
      <c r="Z30" s="105">
        <f t="shared" si="10"/>
        <v>-3750000000</v>
      </c>
      <c r="AA30" s="105">
        <f t="shared" si="10"/>
        <v>-3750000000</v>
      </c>
      <c r="AB30" s="105">
        <f t="shared" si="10"/>
        <v>-3750000000</v>
      </c>
      <c r="AC30" s="105">
        <f t="shared" si="10"/>
        <v>-3750000000</v>
      </c>
      <c r="AD30" s="105">
        <f t="shared" si="10"/>
        <v>-3750000000</v>
      </c>
      <c r="AE30" s="105">
        <f t="shared" si="10"/>
        <v>-3750000000</v>
      </c>
      <c r="AF30" s="105">
        <f t="shared" si="10"/>
        <v>-3750000000</v>
      </c>
      <c r="AG30" s="105">
        <f t="shared" si="10"/>
        <v>-3750000000</v>
      </c>
    </row>
    <row r="31" spans="1:33" ht="15.9" x14ac:dyDescent="0.45">
      <c r="B31" s="110"/>
      <c r="C31" s="103"/>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row>
    <row r="32" spans="1:33" s="100" customFormat="1" ht="16.3" thickBot="1" x14ac:dyDescent="0.5">
      <c r="A32" s="86"/>
      <c r="B32" s="142" t="s">
        <v>88</v>
      </c>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row>
    <row r="33" spans="2:33" ht="15.9" x14ac:dyDescent="0.45">
      <c r="B33" s="110" t="s">
        <v>89</v>
      </c>
      <c r="C33" s="103"/>
      <c r="D33" s="102">
        <f>IF($D$22="Si",MIN(D53/2,-$C$29/2-C34,D53-D36),0)</f>
        <v>2.9802322387695313E-8</v>
      </c>
      <c r="E33" s="102">
        <f t="shared" ref="E33:AG33" si="11">IF($D$22="Si",MIN(E53/2,-$C$29/2-D34,E53-E36),0)</f>
        <v>1.1920928955078125E-7</v>
      </c>
      <c r="F33" s="102">
        <f t="shared" si="11"/>
        <v>-5.9604644775390625E-8</v>
      </c>
      <c r="G33" s="102">
        <f t="shared" si="11"/>
        <v>-5.9604644775390625E-8</v>
      </c>
      <c r="H33" s="102">
        <f t="shared" si="11"/>
        <v>5.9604644775390625E-8</v>
      </c>
      <c r="I33" s="102">
        <f t="shared" si="11"/>
        <v>5.9604644775390625E-8</v>
      </c>
      <c r="J33" s="102">
        <f t="shared" si="11"/>
        <v>0</v>
      </c>
      <c r="K33" s="102">
        <f t="shared" si="11"/>
        <v>390261379.76463294</v>
      </c>
      <c r="L33" s="102">
        <f t="shared" si="11"/>
        <v>783345515.57325482</v>
      </c>
      <c r="M33" s="102">
        <f t="shared" si="11"/>
        <v>701393104.66211224</v>
      </c>
      <c r="N33" s="102">
        <f>IF($D$22="Si",MIN(N53/2,-$C$29/2-M34,N53-N36),0)</f>
        <v>0</v>
      </c>
      <c r="O33" s="102">
        <f t="shared" si="11"/>
        <v>0</v>
      </c>
      <c r="P33" s="102">
        <f>IF($D$22="Si",MIN(P53/2,-$C$29/2-O34,P53-P36),0)</f>
        <v>0</v>
      </c>
      <c r="Q33" s="102">
        <f t="shared" si="11"/>
        <v>0</v>
      </c>
      <c r="R33" s="102">
        <f t="shared" si="11"/>
        <v>0</v>
      </c>
      <c r="S33" s="102">
        <f t="shared" si="11"/>
        <v>0</v>
      </c>
      <c r="T33" s="102">
        <f>IF($D$22="Si",MIN(T53/2,-$C$29/2-S34,T53-T36),0)</f>
        <v>0</v>
      </c>
      <c r="U33" s="102">
        <f t="shared" si="11"/>
        <v>0</v>
      </c>
      <c r="V33" s="102">
        <f t="shared" si="11"/>
        <v>0</v>
      </c>
      <c r="W33" s="102">
        <f t="shared" si="11"/>
        <v>0</v>
      </c>
      <c r="X33" s="102">
        <f t="shared" si="11"/>
        <v>0</v>
      </c>
      <c r="Y33" s="102">
        <f>IF($D$22="Si",MIN(Y53/2,-$C$29/2-X34,Y53-Y36),0)</f>
        <v>0</v>
      </c>
      <c r="Z33" s="102">
        <f t="shared" si="11"/>
        <v>0</v>
      </c>
      <c r="AA33" s="102">
        <f t="shared" si="11"/>
        <v>0</v>
      </c>
      <c r="AB33" s="102">
        <f t="shared" si="11"/>
        <v>0</v>
      </c>
      <c r="AC33" s="102">
        <f t="shared" si="11"/>
        <v>0</v>
      </c>
      <c r="AD33" s="102">
        <f t="shared" si="11"/>
        <v>0</v>
      </c>
      <c r="AE33" s="102">
        <f t="shared" si="11"/>
        <v>0</v>
      </c>
      <c r="AF33" s="102">
        <f t="shared" si="11"/>
        <v>0</v>
      </c>
      <c r="AG33" s="102">
        <f t="shared" si="11"/>
        <v>0</v>
      </c>
    </row>
    <row r="34" spans="2:33" ht="15.9" x14ac:dyDescent="0.45">
      <c r="B34" s="110" t="s">
        <v>90</v>
      </c>
      <c r="C34" s="103"/>
      <c r="D34" s="105">
        <f>D33</f>
        <v>2.9802322387695313E-8</v>
      </c>
      <c r="E34" s="105">
        <f>D34+E33</f>
        <v>1.4901161193847656E-7</v>
      </c>
      <c r="F34" s="105">
        <f t="shared" ref="F34:I34" si="12">E34+F33</f>
        <v>8.9406967163085938E-8</v>
      </c>
      <c r="G34" s="105">
        <f>F34+G33</f>
        <v>2.9802322387695313E-8</v>
      </c>
      <c r="H34" s="105">
        <f t="shared" si="12"/>
        <v>8.9406967163085938E-8</v>
      </c>
      <c r="I34" s="105">
        <f t="shared" si="12"/>
        <v>1.4901161193847656E-7</v>
      </c>
      <c r="J34" s="105">
        <f>I34+J33</f>
        <v>1.4901161193847656E-7</v>
      </c>
      <c r="K34" s="105">
        <f>J34+K33</f>
        <v>390261379.76463306</v>
      </c>
      <c r="L34" s="105">
        <f t="shared" ref="L34" si="13">K34+L33</f>
        <v>1173606895.3378878</v>
      </c>
      <c r="M34" s="105">
        <f>L34+M33</f>
        <v>1875000000</v>
      </c>
      <c r="N34" s="105">
        <f>M34+N33</f>
        <v>1875000000</v>
      </c>
      <c r="O34" s="105">
        <f t="shared" ref="O34:AG34" si="14">N34+O33</f>
        <v>1875000000</v>
      </c>
      <c r="P34" s="105">
        <f>O34+P33</f>
        <v>1875000000</v>
      </c>
      <c r="Q34" s="105">
        <f t="shared" si="14"/>
        <v>1875000000</v>
      </c>
      <c r="R34" s="105">
        <f t="shared" si="14"/>
        <v>1875000000</v>
      </c>
      <c r="S34" s="105">
        <f t="shared" si="14"/>
        <v>1875000000</v>
      </c>
      <c r="T34" s="105">
        <f>S34+T33</f>
        <v>1875000000</v>
      </c>
      <c r="U34" s="105">
        <f t="shared" si="14"/>
        <v>1875000000</v>
      </c>
      <c r="V34" s="105">
        <f t="shared" si="14"/>
        <v>1875000000</v>
      </c>
      <c r="W34" s="105">
        <f t="shared" si="14"/>
        <v>1875000000</v>
      </c>
      <c r="X34" s="105">
        <f t="shared" si="14"/>
        <v>1875000000</v>
      </c>
      <c r="Y34" s="105">
        <f>X34+Y33</f>
        <v>1875000000</v>
      </c>
      <c r="Z34" s="105">
        <f t="shared" si="14"/>
        <v>1875000000</v>
      </c>
      <c r="AA34" s="105">
        <f t="shared" si="14"/>
        <v>1875000000</v>
      </c>
      <c r="AB34" s="105">
        <f t="shared" si="14"/>
        <v>1875000000</v>
      </c>
      <c r="AC34" s="105">
        <f t="shared" si="14"/>
        <v>1875000000</v>
      </c>
      <c r="AD34" s="105">
        <f t="shared" si="14"/>
        <v>1875000000</v>
      </c>
      <c r="AE34" s="105">
        <f t="shared" si="14"/>
        <v>1875000000</v>
      </c>
      <c r="AF34" s="105">
        <f t="shared" si="14"/>
        <v>1875000000</v>
      </c>
      <c r="AG34" s="105">
        <f t="shared" si="14"/>
        <v>1875000000</v>
      </c>
    </row>
    <row r="35" spans="2:33" ht="15.9" x14ac:dyDescent="0.45">
      <c r="B35" s="110" t="s">
        <v>91</v>
      </c>
      <c r="C35" s="103"/>
      <c r="D35" s="105">
        <f>D53-D33</f>
        <v>167149588.57142857</v>
      </c>
      <c r="E35" s="105">
        <f t="shared" ref="E35:AG35" si="15">E53-E33</f>
        <v>479869308.84413815</v>
      </c>
      <c r="F35" s="105">
        <f t="shared" si="15"/>
        <v>434971911.08755141</v>
      </c>
      <c r="G35" s="105">
        <f t="shared" si="15"/>
        <v>488977367.08194441</v>
      </c>
      <c r="H35" s="105">
        <f t="shared" si="15"/>
        <v>472402644.9444254</v>
      </c>
      <c r="I35" s="105">
        <f t="shared" si="15"/>
        <v>462825895.16458529</v>
      </c>
      <c r="J35" s="105">
        <f t="shared" si="15"/>
        <v>300445758.30494344</v>
      </c>
      <c r="K35" s="105">
        <f t="shared" si="15"/>
        <v>390261379.76463294</v>
      </c>
      <c r="L35" s="105">
        <f t="shared" si="15"/>
        <v>783345515.57325482</v>
      </c>
      <c r="M35" s="105">
        <f t="shared" si="15"/>
        <v>1006994641.5145462</v>
      </c>
      <c r="N35" s="105">
        <f t="shared" si="15"/>
        <v>1819105962.2946463</v>
      </c>
      <c r="O35" s="105">
        <f t="shared" si="15"/>
        <v>1911783842.0644937</v>
      </c>
      <c r="P35" s="105">
        <f t="shared" si="15"/>
        <v>2042684181.8626316</v>
      </c>
      <c r="Q35" s="105">
        <f t="shared" si="15"/>
        <v>2168748282.4780765</v>
      </c>
      <c r="R35" s="105">
        <f t="shared" si="15"/>
        <v>2265159952.2013412</v>
      </c>
      <c r="S35" s="105">
        <f t="shared" si="15"/>
        <v>2335262915.098103</v>
      </c>
      <c r="T35" s="105">
        <f t="shared" si="15"/>
        <v>2443578487.8245273</v>
      </c>
      <c r="U35" s="105">
        <f t="shared" si="15"/>
        <v>2526409897.8400536</v>
      </c>
      <c r="V35" s="105">
        <f t="shared" si="15"/>
        <v>2585937868.1414695</v>
      </c>
      <c r="W35" s="105">
        <f t="shared" si="15"/>
        <v>2697524139.3802958</v>
      </c>
      <c r="X35" s="105">
        <f t="shared" si="15"/>
        <v>2855860623.3343711</v>
      </c>
      <c r="Y35" s="105">
        <f t="shared" si="15"/>
        <v>3196144968.1072221</v>
      </c>
      <c r="Z35" s="105">
        <f t="shared" si="15"/>
        <v>3348537379.7465281</v>
      </c>
      <c r="AA35" s="105">
        <f t="shared" si="15"/>
        <v>3424448858.614778</v>
      </c>
      <c r="AB35" s="105">
        <f t="shared" si="15"/>
        <v>3567283948.2008891</v>
      </c>
      <c r="AC35" s="105">
        <f t="shared" si="15"/>
        <v>3676291262.7000413</v>
      </c>
      <c r="AD35" s="105">
        <f t="shared" si="15"/>
        <v>3859966828.5544333</v>
      </c>
      <c r="AE35" s="105">
        <f t="shared" si="15"/>
        <v>4052273045.8239956</v>
      </c>
      <c r="AF35" s="105">
        <f t="shared" si="15"/>
        <v>4253614942.2365775</v>
      </c>
      <c r="AG35" s="105">
        <f t="shared" si="15"/>
        <v>4464416471.6642704</v>
      </c>
    </row>
    <row r="36" spans="2:33" ht="15.9" x14ac:dyDescent="0.45">
      <c r="B36" s="110" t="s">
        <v>92</v>
      </c>
      <c r="C36" s="103"/>
      <c r="D36" s="248">
        <f>(D49+D52)*$H$12/$H$10</f>
        <v>167149588.57142857</v>
      </c>
      <c r="E36" s="248">
        <f t="shared" ref="E36:AG36" si="16">(E49+E52)*$H$12/$H$10</f>
        <v>479869308.84413815</v>
      </c>
      <c r="F36" s="248">
        <f t="shared" si="16"/>
        <v>434971911.08755141</v>
      </c>
      <c r="G36" s="248">
        <f t="shared" si="16"/>
        <v>488977367.08194441</v>
      </c>
      <c r="H36" s="248">
        <f t="shared" si="16"/>
        <v>472402644.9444254</v>
      </c>
      <c r="I36" s="248">
        <f t="shared" si="16"/>
        <v>462825895.16458529</v>
      </c>
      <c r="J36" s="248">
        <f t="shared" si="16"/>
        <v>300445758.30494344</v>
      </c>
      <c r="K36" s="248">
        <f t="shared" si="16"/>
        <v>337856911.79881853</v>
      </c>
      <c r="L36" s="248">
        <f t="shared" si="16"/>
        <v>671439013.34850419</v>
      </c>
      <c r="M36" s="248">
        <f t="shared" si="16"/>
        <v>732166176.93285358</v>
      </c>
      <c r="N36" s="248">
        <f t="shared" si="16"/>
        <v>779616840.98341978</v>
      </c>
      <c r="O36" s="248">
        <f t="shared" si="16"/>
        <v>819335932.31335437</v>
      </c>
      <c r="P36" s="248">
        <f t="shared" si="16"/>
        <v>875436077.9411279</v>
      </c>
      <c r="Q36" s="248">
        <f t="shared" si="16"/>
        <v>929463549.63346124</v>
      </c>
      <c r="R36" s="248">
        <f t="shared" si="16"/>
        <v>970782836.65771759</v>
      </c>
      <c r="S36" s="248">
        <f t="shared" si="16"/>
        <v>1000826963.6134727</v>
      </c>
      <c r="T36" s="248">
        <f t="shared" si="16"/>
        <v>1047247923.3533688</v>
      </c>
      <c r="U36" s="248">
        <f t="shared" si="16"/>
        <v>1082747099.0743089</v>
      </c>
      <c r="V36" s="248">
        <f t="shared" si="16"/>
        <v>1108259086.3463442</v>
      </c>
      <c r="W36" s="248">
        <f t="shared" si="16"/>
        <v>1156081774.0201268</v>
      </c>
      <c r="X36" s="248">
        <f t="shared" si="16"/>
        <v>1223940267.143302</v>
      </c>
      <c r="Y36" s="248">
        <f t="shared" si="16"/>
        <v>1369776414.9030952</v>
      </c>
      <c r="Z36" s="248">
        <f t="shared" si="16"/>
        <v>1435087448.4627979</v>
      </c>
      <c r="AA36" s="248">
        <f t="shared" si="16"/>
        <v>1467620939.4063334</v>
      </c>
      <c r="AB36" s="248">
        <f t="shared" si="16"/>
        <v>1528835977.8003812</v>
      </c>
      <c r="AC36" s="248">
        <f t="shared" si="16"/>
        <v>1575553398.3000178</v>
      </c>
      <c r="AD36" s="248">
        <f t="shared" si="16"/>
        <v>1654271497.9519</v>
      </c>
      <c r="AE36" s="248">
        <f t="shared" si="16"/>
        <v>1736688448.2102838</v>
      </c>
      <c r="AF36" s="248">
        <f t="shared" si="16"/>
        <v>1822977832.3871047</v>
      </c>
      <c r="AG36" s="248">
        <f t="shared" si="16"/>
        <v>1913321344.9989731</v>
      </c>
    </row>
    <row r="37" spans="2:33" s="100" customFormat="1" ht="16" customHeight="1" thickBot="1" x14ac:dyDescent="0.5">
      <c r="B37" s="142" t="s">
        <v>93</v>
      </c>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row>
    <row r="38" spans="2:33" s="100" customFormat="1" ht="16" customHeight="1" x14ac:dyDescent="0.45">
      <c r="B38" s="101" t="s">
        <v>85</v>
      </c>
      <c r="C38" s="100">
        <v>0</v>
      </c>
      <c r="D38" s="100">
        <v>1</v>
      </c>
      <c r="E38" s="100">
        <v>2</v>
      </c>
      <c r="F38" s="100">
        <v>3</v>
      </c>
      <c r="G38" s="100">
        <v>4</v>
      </c>
      <c r="H38" s="100">
        <v>5</v>
      </c>
      <c r="I38" s="100">
        <v>6</v>
      </c>
      <c r="J38" s="100">
        <v>7</v>
      </c>
      <c r="K38" s="100">
        <v>8</v>
      </c>
      <c r="L38" s="100">
        <v>9</v>
      </c>
      <c r="M38" s="100">
        <v>10</v>
      </c>
      <c r="N38" s="100">
        <v>11</v>
      </c>
      <c r="O38" s="100">
        <v>12</v>
      </c>
      <c r="P38" s="100">
        <v>13</v>
      </c>
      <c r="Q38" s="100">
        <v>14</v>
      </c>
      <c r="R38" s="100">
        <v>15</v>
      </c>
      <c r="S38" s="100">
        <v>16</v>
      </c>
      <c r="T38" s="100">
        <v>17</v>
      </c>
      <c r="U38" s="100">
        <v>18</v>
      </c>
      <c r="V38" s="100">
        <v>19</v>
      </c>
      <c r="W38" s="100">
        <v>20</v>
      </c>
      <c r="X38" s="100">
        <v>21</v>
      </c>
      <c r="Y38" s="100">
        <v>22</v>
      </c>
      <c r="Z38" s="100">
        <v>23</v>
      </c>
      <c r="AA38" s="100">
        <v>24</v>
      </c>
      <c r="AB38" s="100">
        <v>25</v>
      </c>
      <c r="AC38" s="100">
        <v>26</v>
      </c>
      <c r="AD38" s="100">
        <v>27</v>
      </c>
      <c r="AE38" s="100">
        <v>28</v>
      </c>
      <c r="AF38" s="100">
        <v>29</v>
      </c>
      <c r="AG38" s="100">
        <v>30</v>
      </c>
    </row>
    <row r="39" spans="2:33" s="103" customFormat="1" ht="16" customHeight="1" x14ac:dyDescent="0.45">
      <c r="B39" s="104" t="s">
        <v>94</v>
      </c>
      <c r="D39" s="105">
        <f>D6/12*8</f>
        <v>1497333.3333333333</v>
      </c>
      <c r="E39" s="106">
        <f>2236241.51724138*2</f>
        <v>4472483.0344827604</v>
      </c>
      <c r="F39" s="106">
        <f>E39-$H$5</f>
        <v>4462724.5517241396</v>
      </c>
      <c r="G39" s="106">
        <f t="shared" ref="G39:AG39" si="17">F39-$H$5</f>
        <v>4452966.0689655188</v>
      </c>
      <c r="H39" s="106">
        <f t="shared" si="17"/>
        <v>4443207.5862068981</v>
      </c>
      <c r="I39" s="106">
        <f t="shared" si="17"/>
        <v>4433449.1034482773</v>
      </c>
      <c r="J39" s="106">
        <f t="shared" si="17"/>
        <v>4423690.6206896566</v>
      </c>
      <c r="K39" s="106">
        <f t="shared" si="17"/>
        <v>4413932.1379310358</v>
      </c>
      <c r="L39" s="106">
        <f t="shared" si="17"/>
        <v>4404173.6551724151</v>
      </c>
      <c r="M39" s="106">
        <f t="shared" si="17"/>
        <v>4394415.1724137943</v>
      </c>
      <c r="N39" s="106">
        <f>M39-$H$5</f>
        <v>4384656.6896551736</v>
      </c>
      <c r="O39" s="106">
        <f t="shared" si="17"/>
        <v>4374898.2068965528</v>
      </c>
      <c r="P39" s="106">
        <f>O39-$H$5</f>
        <v>4365139.7241379321</v>
      </c>
      <c r="Q39" s="106">
        <f t="shared" si="17"/>
        <v>4355381.2413793113</v>
      </c>
      <c r="R39" s="106">
        <f t="shared" si="17"/>
        <v>4345622.7586206906</v>
      </c>
      <c r="S39" s="106">
        <f t="shared" si="17"/>
        <v>4335864.2758620698</v>
      </c>
      <c r="T39" s="106">
        <f>S39-$H$5</f>
        <v>4326105.793103449</v>
      </c>
      <c r="U39" s="106">
        <f t="shared" si="17"/>
        <v>4316347.3103448283</v>
      </c>
      <c r="V39" s="106">
        <f t="shared" si="17"/>
        <v>4306588.8275862075</v>
      </c>
      <c r="W39" s="106">
        <f t="shared" si="17"/>
        <v>4296830.3448275868</v>
      </c>
      <c r="X39" s="106">
        <f t="shared" si="17"/>
        <v>4287071.862068966</v>
      </c>
      <c r="Y39" s="106">
        <f>X39-$H$5</f>
        <v>4277313.3793103453</v>
      </c>
      <c r="Z39" s="106">
        <f t="shared" si="17"/>
        <v>4267554.8965517245</v>
      </c>
      <c r="AA39" s="106">
        <f t="shared" si="17"/>
        <v>4257796.4137931038</v>
      </c>
      <c r="AB39" s="106">
        <f t="shared" si="17"/>
        <v>4248037.931034483</v>
      </c>
      <c r="AC39" s="106">
        <f t="shared" si="17"/>
        <v>4238279.4482758623</v>
      </c>
      <c r="AD39" s="106">
        <f t="shared" si="17"/>
        <v>4228520.9655172415</v>
      </c>
      <c r="AE39" s="106">
        <f t="shared" si="17"/>
        <v>4218762.4827586208</v>
      </c>
      <c r="AF39" s="106">
        <f t="shared" si="17"/>
        <v>4209004</v>
      </c>
      <c r="AG39" s="106">
        <f t="shared" si="17"/>
        <v>4199245.5172413792</v>
      </c>
    </row>
    <row r="40" spans="2:33" s="103" customFormat="1" ht="16" customHeight="1" x14ac:dyDescent="0.45">
      <c r="B40" s="104" t="s">
        <v>95</v>
      </c>
      <c r="C40" s="107"/>
      <c r="D40" s="86">
        <v>315</v>
      </c>
      <c r="E40" s="86">
        <v>310</v>
      </c>
      <c r="F40" s="86">
        <v>289</v>
      </c>
      <c r="G40" s="86">
        <v>322</v>
      </c>
      <c r="H40" s="86">
        <v>316</v>
      </c>
      <c r="I40" s="86">
        <v>314</v>
      </c>
      <c r="J40" s="86">
        <f>((J26*J25)-50)</f>
        <v>226.74315074546888</v>
      </c>
      <c r="K40" s="86">
        <f t="shared" ref="K40:AG40" si="18">((K26*K25)-50)</f>
        <v>251.11949044843766</v>
      </c>
      <c r="L40" s="86">
        <f t="shared" si="18"/>
        <v>441.96902349465751</v>
      </c>
      <c r="M40" s="86">
        <f t="shared" si="18"/>
        <v>480.34482055549563</v>
      </c>
      <c r="N40" s="86">
        <f t="shared" si="18"/>
        <v>511.56793816003039</v>
      </c>
      <c r="O40" s="86">
        <f t="shared" si="18"/>
        <v>538.73130351143971</v>
      </c>
      <c r="P40" s="86">
        <f t="shared" si="18"/>
        <v>575.46982050861777</v>
      </c>
      <c r="Q40" s="86">
        <f t="shared" si="18"/>
        <v>611.38389407330612</v>
      </c>
      <c r="R40" s="86">
        <f t="shared" si="18"/>
        <v>640.42788783531114</v>
      </c>
      <c r="S40" s="86">
        <f t="shared" si="18"/>
        <v>663.38212583683185</v>
      </c>
      <c r="T40" s="86">
        <f t="shared" si="18"/>
        <v>696.01485357623415</v>
      </c>
      <c r="U40" s="86">
        <f t="shared" si="18"/>
        <v>722.77001997484342</v>
      </c>
      <c r="V40" s="86">
        <f t="shared" si="18"/>
        <v>744.15546768725414</v>
      </c>
      <c r="W40" s="86">
        <f t="shared" si="18"/>
        <v>778.72595132441825</v>
      </c>
      <c r="X40" s="86">
        <f t="shared" si="18"/>
        <v>825.2725002707474</v>
      </c>
      <c r="Y40" s="86">
        <f t="shared" si="18"/>
        <v>895.26874903550674</v>
      </c>
      <c r="Z40" s="86">
        <f t="shared" si="18"/>
        <v>940.34116620806071</v>
      </c>
      <c r="AA40" s="86">
        <f t="shared" si="18"/>
        <v>966.85251158663937</v>
      </c>
      <c r="AB40" s="86">
        <f t="shared" si="18"/>
        <v>1010.4483375924467</v>
      </c>
      <c r="AC40" s="86">
        <f t="shared" si="18"/>
        <v>1046.0784354956097</v>
      </c>
      <c r="AD40" s="86">
        <f t="shared" si="18"/>
        <v>1100.8823572703902</v>
      </c>
      <c r="AE40" s="86">
        <f>((AE26*AE25)-50)</f>
        <v>1158.4264751339099</v>
      </c>
      <c r="AF40" s="86">
        <f t="shared" si="18"/>
        <v>1218.8477988906054</v>
      </c>
      <c r="AG40" s="86">
        <f t="shared" si="18"/>
        <v>1282.2901888351357</v>
      </c>
    </row>
    <row r="41" spans="2:33" s="103" customFormat="1" ht="16" customHeight="1" x14ac:dyDescent="0.45">
      <c r="B41" s="104" t="s">
        <v>96</v>
      </c>
      <c r="D41" s="109">
        <f>D39*D40</f>
        <v>471660000</v>
      </c>
      <c r="E41" s="109">
        <f>E39*E40</f>
        <v>1386469740.6896558</v>
      </c>
      <c r="F41" s="109">
        <f>F39*F40</f>
        <v>1289727395.4482763</v>
      </c>
      <c r="G41" s="109">
        <f t="shared" ref="G41:X41" si="19">G39*G40</f>
        <v>1433855074.206897</v>
      </c>
      <c r="H41" s="109">
        <f t="shared" si="19"/>
        <v>1404053597.2413797</v>
      </c>
      <c r="I41" s="109">
        <f t="shared" si="19"/>
        <v>1392103018.482759</v>
      </c>
      <c r="J41" s="109">
        <f t="shared" si="19"/>
        <v>1003041549.2583516</v>
      </c>
      <c r="K41" s="109">
        <f t="shared" si="19"/>
        <v>1108424389.3512247</v>
      </c>
      <c r="L41" s="109">
        <f t="shared" si="19"/>
        <v>1946508329.6774487</v>
      </c>
      <c r="M41" s="109">
        <f t="shared" si="19"/>
        <v>2110834567.4394515</v>
      </c>
      <c r="N41" s="109">
        <f t="shared" si="19"/>
        <v>2243049782.2664814</v>
      </c>
      <c r="O41" s="109">
        <f t="shared" si="19"/>
        <v>2356894613.7312403</v>
      </c>
      <c r="P41" s="109">
        <f t="shared" si="19"/>
        <v>2512006173.544693</v>
      </c>
      <c r="Q41" s="109">
        <f t="shared" si="19"/>
        <v>2662809943.5283132</v>
      </c>
      <c r="R41" s="109">
        <f t="shared" si="19"/>
        <v>2783058004.6325068</v>
      </c>
      <c r="S41" s="109">
        <f t="shared" si="19"/>
        <v>2876334860.6613555</v>
      </c>
      <c r="T41" s="109">
        <f t="shared" si="19"/>
        <v>3011033890.1421952</v>
      </c>
      <c r="U41" s="109">
        <f t="shared" si="19"/>
        <v>3119726431.7162933</v>
      </c>
      <c r="V41" s="109">
        <f t="shared" si="19"/>
        <v>3204771623.129118</v>
      </c>
      <c r="W41" s="109">
        <f t="shared" si="19"/>
        <v>3346053297.9554906</v>
      </c>
      <c r="X41" s="109">
        <f t="shared" si="19"/>
        <v>3538002514.4500241</v>
      </c>
      <c r="Y41" s="109">
        <f>Y39*Y40</f>
        <v>3829344998.3280087</v>
      </c>
      <c r="Z41" s="109">
        <f>Z39*Z40</f>
        <v>4012957548.2803683</v>
      </c>
      <c r="AA41" s="109">
        <f>AA39*AA40</f>
        <v>4116661156.5004482</v>
      </c>
      <c r="AB41" s="109">
        <f>AB39*AB40</f>
        <v>4292422865.44345</v>
      </c>
      <c r="AC41" s="109">
        <f t="shared" ref="AC41:AG41" si="20">AC39*AC40</f>
        <v>4433572734.44561</v>
      </c>
      <c r="AD41" s="109">
        <f t="shared" si="20"/>
        <v>4655104128.2858877</v>
      </c>
      <c r="AE41" s="109">
        <f t="shared" si="20"/>
        <v>4887126152.3292513</v>
      </c>
      <c r="AF41" s="109">
        <f t="shared" si="20"/>
        <v>5130135260.9217539</v>
      </c>
      <c r="AG41" s="109">
        <f t="shared" si="20"/>
        <v>5384651327.2685452</v>
      </c>
    </row>
    <row r="42" spans="2:33" s="103" customFormat="1" ht="16" customHeight="1" x14ac:dyDescent="0.45">
      <c r="B42" s="110" t="s">
        <v>97</v>
      </c>
      <c r="D42" s="105">
        <f>-D11/12*8</f>
        <v>-42000000</v>
      </c>
      <c r="E42" s="105">
        <f>-67410000*2</f>
        <v>-134820000</v>
      </c>
      <c r="F42" s="105">
        <f>E42+E42*E24</f>
        <v>-141561000</v>
      </c>
      <c r="G42" s="105">
        <f>F42+F42*F24</f>
        <v>-148639050</v>
      </c>
      <c r="H42" s="105">
        <f t="shared" ref="H42:AG42" si="21">G42+G42*G24</f>
        <v>-156071002.5</v>
      </c>
      <c r="I42" s="105">
        <f t="shared" si="21"/>
        <v>-163874552.625</v>
      </c>
      <c r="J42" s="105">
        <f>I42+I42*I24</f>
        <v>-172068280.25624999</v>
      </c>
      <c r="K42" s="105">
        <f t="shared" si="21"/>
        <v>-180671694.26906249</v>
      </c>
      <c r="L42" s="105">
        <f t="shared" si="21"/>
        <v>-189705278.9825156</v>
      </c>
      <c r="M42" s="105">
        <f t="shared" si="21"/>
        <v>-199190542.93164137</v>
      </c>
      <c r="N42" s="105">
        <f>M42+M42*M24</f>
        <v>-209150070.07822344</v>
      </c>
      <c r="O42" s="105">
        <f t="shared" si="21"/>
        <v>-219607573.5821346</v>
      </c>
      <c r="P42" s="105">
        <f>O42+O42*O24</f>
        <v>-230587952.26124135</v>
      </c>
      <c r="Q42" s="105">
        <f t="shared" si="21"/>
        <v>-242117349.8743034</v>
      </c>
      <c r="R42" s="105">
        <f t="shared" si="21"/>
        <v>-254223217.36801857</v>
      </c>
      <c r="S42" s="105">
        <f t="shared" si="21"/>
        <v>-266934378.2364195</v>
      </c>
      <c r="T42" s="105">
        <f>S42+S42*S24</f>
        <v>-280281097.14824045</v>
      </c>
      <c r="U42" s="105">
        <f t="shared" si="21"/>
        <v>-294295152.00565249</v>
      </c>
      <c r="V42" s="105">
        <f t="shared" si="21"/>
        <v>-309009909.6059351</v>
      </c>
      <c r="W42" s="105">
        <f t="shared" si="21"/>
        <v>-324460405.08623183</v>
      </c>
      <c r="X42" s="105">
        <f t="shared" si="21"/>
        <v>-340683425.34054339</v>
      </c>
      <c r="Y42" s="105">
        <f>X42+X42*X24</f>
        <v>-357717596.60757053</v>
      </c>
      <c r="Z42" s="105">
        <f t="shared" si="21"/>
        <v>-375603476.43794906</v>
      </c>
      <c r="AA42" s="105">
        <f t="shared" si="21"/>
        <v>-394383650.25984651</v>
      </c>
      <c r="AB42" s="105">
        <f t="shared" si="21"/>
        <v>-414102832.77283883</v>
      </c>
      <c r="AC42" s="105">
        <f t="shared" si="21"/>
        <v>-434807974.41148078</v>
      </c>
      <c r="AD42" s="105">
        <f t="shared" si="21"/>
        <v>-456548373.13205481</v>
      </c>
      <c r="AE42" s="105">
        <f t="shared" si="21"/>
        <v>-479375791.78865755</v>
      </c>
      <c r="AF42" s="105">
        <f t="shared" si="21"/>
        <v>-503344581.37809044</v>
      </c>
      <c r="AG42" s="105">
        <f t="shared" si="21"/>
        <v>-528511810.44699496</v>
      </c>
    </row>
    <row r="43" spans="2:33" s="103" customFormat="1" ht="16" customHeight="1" x14ac:dyDescent="0.45">
      <c r="B43" s="110" t="s">
        <v>98</v>
      </c>
      <c r="D43" s="105">
        <f>-$D$14*D39</f>
        <v>-10481333.333333332</v>
      </c>
      <c r="E43" s="105">
        <f>-$D$14*E39</f>
        <v>-31307381.241379321</v>
      </c>
      <c r="F43" s="105">
        <f>-$D$14*F39*F25</f>
        <v>-36851952.098886229</v>
      </c>
      <c r="G43" s="105">
        <f t="shared" ref="G43:AG43" si="22">-$D$14*G39*G25</f>
        <v>-38609937.69344072</v>
      </c>
      <c r="H43" s="105">
        <f t="shared" si="22"/>
        <v>-40451591.967203438</v>
      </c>
      <c r="I43" s="105">
        <f t="shared" si="22"/>
        <v>-42380886.824108824</v>
      </c>
      <c r="J43" s="105">
        <f t="shared" si="22"/>
        <v>-44401982.186786741</v>
      </c>
      <c r="K43" s="105">
        <f t="shared" si="22"/>
        <v>-46519234.868672185</v>
      </c>
      <c r="L43" s="105">
        <f t="shared" si="22"/>
        <v>-48737207.863279201</v>
      </c>
      <c r="M43" s="105">
        <f t="shared" si="22"/>
        <v>-51060680.070175231</v>
      </c>
      <c r="N43" s="105">
        <f t="shared" si="22"/>
        <v>-53494656.478102677</v>
      </c>
      <c r="O43" s="105">
        <f t="shared" si="22"/>
        <v>-56044378.826647423</v>
      </c>
      <c r="P43" s="105">
        <f t="shared" si="22"/>
        <v>-58715336.768851385</v>
      </c>
      <c r="Q43" s="105">
        <f t="shared" si="22"/>
        <v>-61513279.558209129</v>
      </c>
      <c r="R43" s="105">
        <f t="shared" si="22"/>
        <v>-64444228.284580521</v>
      </c>
      <c r="S43" s="105">
        <f t="shared" si="22"/>
        <v>-67514488.68469353</v>
      </c>
      <c r="T43" s="105">
        <f t="shared" si="22"/>
        <v>-70730664.55410637</v>
      </c>
      <c r="U43" s="105">
        <f t="shared" si="22"/>
        <v>-74099671.788748771</v>
      </c>
      <c r="V43" s="105">
        <f t="shared" si="22"/>
        <v>-77628753.08547017</v>
      </c>
      <c r="W43" s="105">
        <f t="shared" si="22"/>
        <v>-81325493.332391813</v>
      </c>
      <c r="X43" s="105">
        <f t="shared" si="22"/>
        <v>-85197835.721291944</v>
      </c>
      <c r="Y43" s="105">
        <f t="shared" si="22"/>
        <v>-89254098.615751117</v>
      </c>
      <c r="Z43" s="105">
        <f t="shared" si="22"/>
        <v>-93502993.210352987</v>
      </c>
      <c r="AA43" s="105">
        <f t="shared" si="22"/>
        <v>-97953642.017875656</v>
      </c>
      <c r="AB43" s="105">
        <f t="shared" si="22"/>
        <v>-102615598.2231247</v>
      </c>
      <c r="AC43" s="105">
        <f t="shared" si="22"/>
        <v>-107498865.94385396</v>
      </c>
      <c r="AD43" s="105">
        <f t="shared" si="22"/>
        <v>-112613921.44109833</v>
      </c>
      <c r="AE43" s="105">
        <f t="shared" si="22"/>
        <v>-117971735.32320753</v>
      </c>
      <c r="AF43" s="105">
        <f t="shared" si="22"/>
        <v>-123583795.78992487</v>
      </c>
      <c r="AG43" s="105">
        <f t="shared" si="22"/>
        <v>-129462132.96500593</v>
      </c>
    </row>
    <row r="44" spans="2:33" s="100" customFormat="1" ht="16" customHeight="1" x14ac:dyDescent="0.45">
      <c r="B44" s="101" t="s">
        <v>99</v>
      </c>
      <c r="D44" s="111">
        <f>D41+D42+D43</f>
        <v>419178666.66666669</v>
      </c>
      <c r="E44" s="111">
        <f>E41+E42+E43</f>
        <v>1220342359.4482765</v>
      </c>
      <c r="F44" s="111">
        <f>F41+F42+F43</f>
        <v>1111314443.34939</v>
      </c>
      <c r="G44" s="111">
        <f>G41+G42+G43</f>
        <v>1246606086.5134563</v>
      </c>
      <c r="H44" s="111">
        <f t="shared" ref="H44:X44" si="23">H41+H42+H43</f>
        <v>1207531002.7741764</v>
      </c>
      <c r="I44" s="111">
        <f t="shared" si="23"/>
        <v>1185847579.0336502</v>
      </c>
      <c r="J44" s="111">
        <f t="shared" si="23"/>
        <v>786571286.81531477</v>
      </c>
      <c r="K44" s="111">
        <f t="shared" si="23"/>
        <v>881233460.21349001</v>
      </c>
      <c r="L44" s="111">
        <f t="shared" si="23"/>
        <v>1708065842.8316541</v>
      </c>
      <c r="M44" s="111">
        <f t="shared" si="23"/>
        <v>1860583344.4376349</v>
      </c>
      <c r="N44" s="111">
        <f t="shared" si="23"/>
        <v>1980405055.7101552</v>
      </c>
      <c r="O44" s="111">
        <f t="shared" si="23"/>
        <v>2081242661.322458</v>
      </c>
      <c r="P44" s="111">
        <f t="shared" si="23"/>
        <v>2222702884.5146003</v>
      </c>
      <c r="Q44" s="111">
        <f t="shared" si="23"/>
        <v>2359179314.0958009</v>
      </c>
      <c r="R44" s="111">
        <f t="shared" si="23"/>
        <v>2464390558.9799075</v>
      </c>
      <c r="S44" s="111">
        <f t="shared" si="23"/>
        <v>2541885993.7402425</v>
      </c>
      <c r="T44" s="111">
        <f t="shared" si="23"/>
        <v>2660022128.4398484</v>
      </c>
      <c r="U44" s="111">
        <f t="shared" si="23"/>
        <v>2751331607.9218922</v>
      </c>
      <c r="V44" s="111">
        <f t="shared" si="23"/>
        <v>2818132960.4377127</v>
      </c>
      <c r="W44" s="111">
        <f t="shared" si="23"/>
        <v>2940267399.5368671</v>
      </c>
      <c r="X44" s="111">
        <f t="shared" si="23"/>
        <v>3112121253.3881888</v>
      </c>
      <c r="Y44" s="111">
        <f t="shared" ref="Y44:AG44" si="24">Y41+Y42</f>
        <v>3471627401.720438</v>
      </c>
      <c r="Z44" s="111">
        <f t="shared" si="24"/>
        <v>3637354071.8424191</v>
      </c>
      <c r="AA44" s="111">
        <f t="shared" si="24"/>
        <v>3722277506.2406015</v>
      </c>
      <c r="AB44" s="111">
        <f t="shared" si="24"/>
        <v>3878320032.6706114</v>
      </c>
      <c r="AC44" s="111">
        <f t="shared" si="24"/>
        <v>3998764760.0341291</v>
      </c>
      <c r="AD44" s="111">
        <f t="shared" si="24"/>
        <v>4198555755.1538329</v>
      </c>
      <c r="AE44" s="111">
        <f t="shared" si="24"/>
        <v>4407750360.5405941</v>
      </c>
      <c r="AF44" s="111">
        <f t="shared" si="24"/>
        <v>4626790679.543663</v>
      </c>
      <c r="AG44" s="111">
        <f t="shared" si="24"/>
        <v>4856139516.8215504</v>
      </c>
    </row>
    <row r="45" spans="2:33" s="103" customFormat="1" ht="16" customHeight="1" x14ac:dyDescent="0.45">
      <c r="B45" s="110" t="s">
        <v>100</v>
      </c>
      <c r="D45" s="105">
        <f>-D41*$D$13</f>
        <v>-23583000</v>
      </c>
      <c r="E45" s="105">
        <f>-E41*$D$13</f>
        <v>-69323487.034482792</v>
      </c>
      <c r="F45" s="105">
        <f t="shared" ref="F45:AG45" si="25">-F41*$D$13</f>
        <v>-64486369.77241382</v>
      </c>
      <c r="G45" s="105">
        <f t="shared" si="25"/>
        <v>-71692753.710344851</v>
      </c>
      <c r="H45" s="105">
        <f t="shared" si="25"/>
        <v>-70202679.862068996</v>
      </c>
      <c r="I45" s="105">
        <f t="shared" si="25"/>
        <v>-69605150.92413795</v>
      </c>
      <c r="J45" s="105">
        <f t="shared" si="25"/>
        <v>-50152077.462917581</v>
      </c>
      <c r="K45" s="105">
        <f t="shared" si="25"/>
        <v>-55421219.467561238</v>
      </c>
      <c r="L45" s="105">
        <f t="shared" si="25"/>
        <v>-97325416.483872443</v>
      </c>
      <c r="M45" s="105">
        <f t="shared" si="25"/>
        <v>-105541728.37197258</v>
      </c>
      <c r="N45" s="105">
        <f>-N41*$D$13</f>
        <v>-112152489.11332408</v>
      </c>
      <c r="O45" s="105">
        <f t="shared" si="25"/>
        <v>-117844730.68656202</v>
      </c>
      <c r="P45" s="105">
        <f t="shared" si="25"/>
        <v>-125600308.67723465</v>
      </c>
      <c r="Q45" s="105">
        <f t="shared" si="25"/>
        <v>-133140497.17641567</v>
      </c>
      <c r="R45" s="105">
        <f t="shared" si="25"/>
        <v>-139152900.23162535</v>
      </c>
      <c r="S45" s="105">
        <f t="shared" si="25"/>
        <v>-143816743.03306779</v>
      </c>
      <c r="T45" s="105">
        <f t="shared" si="25"/>
        <v>-150551694.50710976</v>
      </c>
      <c r="U45" s="105">
        <f t="shared" si="25"/>
        <v>-155986321.58581468</v>
      </c>
      <c r="V45" s="105">
        <f t="shared" si="25"/>
        <v>-160238581.1564559</v>
      </c>
      <c r="W45" s="105">
        <f t="shared" si="25"/>
        <v>-167302664.89777455</v>
      </c>
      <c r="X45" s="105">
        <f t="shared" si="25"/>
        <v>-176900125.72250122</v>
      </c>
      <c r="Y45" s="105">
        <f t="shared" si="25"/>
        <v>-191467249.91640043</v>
      </c>
      <c r="Z45" s="105">
        <f t="shared" si="25"/>
        <v>-200647877.41401842</v>
      </c>
      <c r="AA45" s="105">
        <f t="shared" si="25"/>
        <v>-205833057.82502243</v>
      </c>
      <c r="AB45" s="105">
        <f t="shared" si="25"/>
        <v>-214621143.27217251</v>
      </c>
      <c r="AC45" s="105">
        <f t="shared" si="25"/>
        <v>-221678636.7222805</v>
      </c>
      <c r="AD45" s="105">
        <f t="shared" si="25"/>
        <v>-232755206.41429439</v>
      </c>
      <c r="AE45" s="105">
        <f t="shared" si="25"/>
        <v>-244356307.61646259</v>
      </c>
      <c r="AF45" s="105">
        <f t="shared" si="25"/>
        <v>-256506763.04608771</v>
      </c>
      <c r="AG45" s="105">
        <f t="shared" si="25"/>
        <v>-269232566.36342728</v>
      </c>
    </row>
    <row r="46" spans="2:33" s="103" customFormat="1" ht="16" customHeight="1" x14ac:dyDescent="0.45">
      <c r="B46" s="110" t="s">
        <v>61</v>
      </c>
      <c r="D46" s="105">
        <f>+-D16</f>
        <v>-18750000</v>
      </c>
      <c r="E46" s="105">
        <f>(D46+D46*D24)*2</f>
        <v>-40125000</v>
      </c>
      <c r="F46" s="105">
        <f t="shared" ref="F46:AG46" si="26">E46+E46*E24</f>
        <v>-42131250</v>
      </c>
      <c r="G46" s="105">
        <f t="shared" si="26"/>
        <v>-44237812.5</v>
      </c>
      <c r="H46" s="105">
        <f t="shared" si="26"/>
        <v>-46449703.125</v>
      </c>
      <c r="I46" s="105">
        <f t="shared" si="26"/>
        <v>-48772188.28125</v>
      </c>
      <c r="J46" s="105">
        <f>I46+I46*I24</f>
        <v>-51210797.6953125</v>
      </c>
      <c r="K46" s="105">
        <f t="shared" si="26"/>
        <v>-53771337.580078125</v>
      </c>
      <c r="L46" s="105">
        <f t="shared" si="26"/>
        <v>-56459904.45908203</v>
      </c>
      <c r="M46" s="105">
        <f t="shared" si="26"/>
        <v>-59282899.682036132</v>
      </c>
      <c r="N46" s="105">
        <f>M46+M46*M24</f>
        <v>-62247044.666137941</v>
      </c>
      <c r="O46" s="105">
        <f t="shared" si="26"/>
        <v>-65359396.899444841</v>
      </c>
      <c r="P46" s="105">
        <f>O46+O46*O24</f>
        <v>-68627366.744417086</v>
      </c>
      <c r="Q46" s="105">
        <f t="shared" si="26"/>
        <v>-72058735.081637934</v>
      </c>
      <c r="R46" s="105">
        <f t="shared" si="26"/>
        <v>-75661671.835719824</v>
      </c>
      <c r="S46" s="105">
        <f t="shared" si="26"/>
        <v>-79444755.427505821</v>
      </c>
      <c r="T46" s="105">
        <f>S46+S46*S24</f>
        <v>-83416993.198881119</v>
      </c>
      <c r="U46" s="105">
        <f t="shared" si="26"/>
        <v>-87587842.858825177</v>
      </c>
      <c r="V46" s="105">
        <f t="shared" si="26"/>
        <v>-91967235.001766443</v>
      </c>
      <c r="W46" s="105">
        <f t="shared" si="26"/>
        <v>-96565596.751854762</v>
      </c>
      <c r="X46" s="105">
        <f t="shared" si="26"/>
        <v>-101393876.5894475</v>
      </c>
      <c r="Y46" s="105">
        <f>X46+X46*X24</f>
        <v>-106463570.41891988</v>
      </c>
      <c r="Z46" s="105">
        <f t="shared" si="26"/>
        <v>-111786748.93986587</v>
      </c>
      <c r="AA46" s="105">
        <f t="shared" si="26"/>
        <v>-117376086.38685916</v>
      </c>
      <c r="AB46" s="105">
        <f t="shared" si="26"/>
        <v>-123244890.70620212</v>
      </c>
      <c r="AC46" s="105">
        <f t="shared" si="26"/>
        <v>-129407135.24151222</v>
      </c>
      <c r="AD46" s="105">
        <f t="shared" si="26"/>
        <v>-135877492.00358784</v>
      </c>
      <c r="AE46" s="105">
        <f t="shared" si="26"/>
        <v>-142671366.60376725</v>
      </c>
      <c r="AF46" s="105">
        <f t="shared" si="26"/>
        <v>-149804934.93395561</v>
      </c>
      <c r="AG46" s="105">
        <f t="shared" si="26"/>
        <v>-157295181.68065339</v>
      </c>
    </row>
    <row r="47" spans="2:33" s="103" customFormat="1" ht="16" customHeight="1" x14ac:dyDescent="0.45">
      <c r="B47" s="110" t="s">
        <v>25</v>
      </c>
      <c r="D47" s="105">
        <f>H7</f>
        <v>16000000</v>
      </c>
      <c r="E47" s="105">
        <f>D47*(1+D24)</f>
        <v>17120000</v>
      </c>
      <c r="F47" s="105">
        <f>E47*(1+E24)</f>
        <v>17976000</v>
      </c>
      <c r="G47" s="105">
        <f t="shared" ref="G47:AG47" si="27">F47*(1+F24)</f>
        <v>18874800</v>
      </c>
      <c r="H47" s="105">
        <f t="shared" si="27"/>
        <v>19818540</v>
      </c>
      <c r="I47" s="105">
        <f t="shared" si="27"/>
        <v>20809467</v>
      </c>
      <c r="J47" s="105">
        <f>I47*(1+I24)</f>
        <v>21849940.350000001</v>
      </c>
      <c r="K47" s="105">
        <f t="shared" si="27"/>
        <v>22942437.367500003</v>
      </c>
      <c r="L47" s="105">
        <f t="shared" si="27"/>
        <v>24089559.235875003</v>
      </c>
      <c r="M47" s="105">
        <f t="shared" si="27"/>
        <v>25294037.197668754</v>
      </c>
      <c r="N47" s="105">
        <f>M47*(1+M24)</f>
        <v>26558739.057552192</v>
      </c>
      <c r="O47" s="105">
        <f t="shared" si="27"/>
        <v>27886676.010429803</v>
      </c>
      <c r="P47" s="105">
        <f>O47*(1+O24)</f>
        <v>29281009.810951296</v>
      </c>
      <c r="Q47" s="105">
        <f t="shared" si="27"/>
        <v>30745060.301498864</v>
      </c>
      <c r="R47" s="105">
        <f t="shared" si="27"/>
        <v>32282313.31657381</v>
      </c>
      <c r="S47" s="105">
        <f t="shared" si="27"/>
        <v>33896428.982402503</v>
      </c>
      <c r="T47" s="105">
        <f>S47*(1+S24)</f>
        <v>35591250.43152263</v>
      </c>
      <c r="U47" s="105">
        <f t="shared" si="27"/>
        <v>37370812.953098767</v>
      </c>
      <c r="V47" s="105">
        <f t="shared" si="27"/>
        <v>39239353.60075371</v>
      </c>
      <c r="W47" s="105">
        <f t="shared" si="27"/>
        <v>41201321.280791394</v>
      </c>
      <c r="X47" s="105">
        <f t="shared" si="27"/>
        <v>43261387.344830967</v>
      </c>
      <c r="Y47" s="105">
        <f>X47*(1+X24)</f>
        <v>45424456.712072521</v>
      </c>
      <c r="Z47" s="105">
        <f t="shared" si="27"/>
        <v>47695679.547676146</v>
      </c>
      <c r="AA47" s="105">
        <f t="shared" si="27"/>
        <v>50080463.525059953</v>
      </c>
      <c r="AB47" s="105">
        <f t="shared" si="27"/>
        <v>52584486.701312952</v>
      </c>
      <c r="AC47" s="105">
        <f t="shared" si="27"/>
        <v>55213711.0363786</v>
      </c>
      <c r="AD47" s="105">
        <f t="shared" si="27"/>
        <v>57974396.588197529</v>
      </c>
      <c r="AE47" s="105">
        <f t="shared" si="27"/>
        <v>60873116.417607412</v>
      </c>
      <c r="AF47" s="105">
        <f t="shared" si="27"/>
        <v>63916772.238487788</v>
      </c>
      <c r="AG47" s="105">
        <f t="shared" si="27"/>
        <v>67112610.850412175</v>
      </c>
    </row>
    <row r="48" spans="2:33" s="103" customFormat="1" ht="16" customHeight="1" x14ac:dyDescent="0.45">
      <c r="B48" s="110" t="s">
        <v>101</v>
      </c>
      <c r="D48" s="105">
        <f t="shared" ref="D48:AG48" si="28">-D41*$H$11</f>
        <v>-2829960</v>
      </c>
      <c r="E48" s="105">
        <f t="shared" si="28"/>
        <v>-8318818.4441379346</v>
      </c>
      <c r="F48" s="105">
        <f t="shared" si="28"/>
        <v>-7738364.3726896578</v>
      </c>
      <c r="G48" s="105">
        <f t="shared" si="28"/>
        <v>-8603130.4452413823</v>
      </c>
      <c r="H48" s="105">
        <f t="shared" si="28"/>
        <v>-8424321.5834482778</v>
      </c>
      <c r="I48" s="105">
        <f t="shared" si="28"/>
        <v>-8352618.1108965538</v>
      </c>
      <c r="J48" s="105">
        <f t="shared" si="28"/>
        <v>-6018249.2955501098</v>
      </c>
      <c r="K48" s="105">
        <f t="shared" si="28"/>
        <v>-6650546.3361073481</v>
      </c>
      <c r="L48" s="105">
        <f t="shared" si="28"/>
        <v>-11679049.978064694</v>
      </c>
      <c r="M48" s="105">
        <f t="shared" si="28"/>
        <v>-12665007.404636709</v>
      </c>
      <c r="N48" s="105">
        <f t="shared" si="28"/>
        <v>-13458298.693598889</v>
      </c>
      <c r="O48" s="105">
        <f t="shared" si="28"/>
        <v>-14141367.682387441</v>
      </c>
      <c r="P48" s="105">
        <f t="shared" si="28"/>
        <v>-15072037.041268159</v>
      </c>
      <c r="Q48" s="105">
        <f t="shared" si="28"/>
        <v>-15976859.661169879</v>
      </c>
      <c r="R48" s="105">
        <f t="shared" si="28"/>
        <v>-16698348.027795041</v>
      </c>
      <c r="S48" s="105">
        <f t="shared" si="28"/>
        <v>-17258009.163968135</v>
      </c>
      <c r="T48" s="105">
        <f t="shared" si="28"/>
        <v>-18066203.340853173</v>
      </c>
      <c r="U48" s="105">
        <f t="shared" si="28"/>
        <v>-18718358.590297759</v>
      </c>
      <c r="V48" s="105">
        <f t="shared" si="28"/>
        <v>-19228629.738774709</v>
      </c>
      <c r="W48" s="105">
        <f t="shared" si="28"/>
        <v>-20076319.787732944</v>
      </c>
      <c r="X48" s="105">
        <f t="shared" si="28"/>
        <v>-21228015.086700145</v>
      </c>
      <c r="Y48" s="105">
        <f t="shared" si="28"/>
        <v>-22976069.989968054</v>
      </c>
      <c r="Z48" s="105">
        <f t="shared" si="28"/>
        <v>-24077745.289682209</v>
      </c>
      <c r="AA48" s="105">
        <f t="shared" si="28"/>
        <v>-24699966.939002689</v>
      </c>
      <c r="AB48" s="105">
        <f t="shared" si="28"/>
        <v>-25754537.192660701</v>
      </c>
      <c r="AC48" s="105">
        <f t="shared" si="28"/>
        <v>-26601436.406673662</v>
      </c>
      <c r="AD48" s="105">
        <f t="shared" si="28"/>
        <v>-27930624.769715328</v>
      </c>
      <c r="AE48" s="105">
        <f t="shared" si="28"/>
        <v>-29322756.913975507</v>
      </c>
      <c r="AF48" s="105">
        <f t="shared" si="28"/>
        <v>-30780811.565530524</v>
      </c>
      <c r="AG48" s="105">
        <f t="shared" si="28"/>
        <v>-32307907.963611271</v>
      </c>
    </row>
    <row r="49" spans="1:37" s="100" customFormat="1" ht="16" customHeight="1" x14ac:dyDescent="0.45">
      <c r="B49" s="101" t="s">
        <v>102</v>
      </c>
      <c r="C49" s="111"/>
      <c r="D49" s="111">
        <f t="shared" ref="D49:AG49" si="29">SUM(D44:D48)</f>
        <v>390015706.66666669</v>
      </c>
      <c r="E49" s="111">
        <f>SUM(E44:E48)</f>
        <v>1119695053.9696558</v>
      </c>
      <c r="F49" s="111">
        <f t="shared" si="29"/>
        <v>1014934459.2042866</v>
      </c>
      <c r="G49" s="111">
        <f t="shared" si="29"/>
        <v>1140947189.8578701</v>
      </c>
      <c r="H49" s="111">
        <f t="shared" si="29"/>
        <v>1102272838.2036593</v>
      </c>
      <c r="I49" s="111">
        <f t="shared" si="29"/>
        <v>1079927088.7173657</v>
      </c>
      <c r="J49" s="111">
        <f t="shared" si="29"/>
        <v>701040102.71153462</v>
      </c>
      <c r="K49" s="111">
        <f t="shared" si="29"/>
        <v>788332794.19724321</v>
      </c>
      <c r="L49" s="111">
        <f t="shared" si="29"/>
        <v>1566691031.1465096</v>
      </c>
      <c r="M49" s="111">
        <f t="shared" si="29"/>
        <v>1708387746.1766584</v>
      </c>
      <c r="N49" s="111">
        <f t="shared" si="29"/>
        <v>1819105962.2946463</v>
      </c>
      <c r="O49" s="111">
        <f t="shared" si="29"/>
        <v>1911783842.0644937</v>
      </c>
      <c r="P49" s="111">
        <f t="shared" si="29"/>
        <v>2042684181.8626316</v>
      </c>
      <c r="Q49" s="111">
        <f t="shared" si="29"/>
        <v>2168748282.4780765</v>
      </c>
      <c r="R49" s="111">
        <f t="shared" si="29"/>
        <v>2265159952.2013412</v>
      </c>
      <c r="S49" s="111">
        <f t="shared" si="29"/>
        <v>2335262915.098103</v>
      </c>
      <c r="T49" s="111">
        <f t="shared" si="29"/>
        <v>2443578487.8245273</v>
      </c>
      <c r="U49" s="111">
        <f t="shared" si="29"/>
        <v>2526409897.8400536</v>
      </c>
      <c r="V49" s="111">
        <f t="shared" si="29"/>
        <v>2585937868.1414695</v>
      </c>
      <c r="W49" s="111">
        <f t="shared" si="29"/>
        <v>2697524139.3802958</v>
      </c>
      <c r="X49" s="111">
        <f t="shared" si="29"/>
        <v>2855860623.3343711</v>
      </c>
      <c r="Y49" s="111">
        <f t="shared" si="29"/>
        <v>3196144968.1072221</v>
      </c>
      <c r="Z49" s="111">
        <f t="shared" si="29"/>
        <v>3348537379.7465281</v>
      </c>
      <c r="AA49" s="111">
        <f t="shared" si="29"/>
        <v>3424448858.614778</v>
      </c>
      <c r="AB49" s="111">
        <f t="shared" si="29"/>
        <v>3567283948.2008891</v>
      </c>
      <c r="AC49" s="111">
        <f t="shared" si="29"/>
        <v>3676291262.7000413</v>
      </c>
      <c r="AD49" s="111">
        <f t="shared" si="29"/>
        <v>3859966828.5544333</v>
      </c>
      <c r="AE49" s="111">
        <f t="shared" si="29"/>
        <v>4052273045.8239956</v>
      </c>
      <c r="AF49" s="111">
        <f t="shared" si="29"/>
        <v>4253614942.2365775</v>
      </c>
      <c r="AG49" s="111">
        <f t="shared" si="29"/>
        <v>4464416471.6642704</v>
      </c>
    </row>
    <row r="50" spans="1:37" s="103" customFormat="1" ht="16" customHeight="1" x14ac:dyDescent="0.45">
      <c r="B50" s="110" t="s">
        <v>36</v>
      </c>
      <c r="D50" s="105">
        <f>IF($D$22="Si",-MIN(($H$6+C30),(D49+D52)*($H$10-$H$12)/$H$10,($H$6)/3),-$H$6/10)</f>
        <v>-222866118.09523809</v>
      </c>
      <c r="E50" s="105">
        <f t="shared" ref="E50:AG50" si="30">IF($D$22="Si",-MIN(($H$6+D30),(E49+E52)*($H$10-$H$12)/$H$10,($H$6)/3),-$H$6/10)</f>
        <v>-639825745.12551749</v>
      </c>
      <c r="F50" s="105">
        <f t="shared" si="30"/>
        <v>-579962548.11673522</v>
      </c>
      <c r="G50" s="105">
        <f t="shared" si="30"/>
        <v>-651969822.77592576</v>
      </c>
      <c r="H50" s="105">
        <f t="shared" si="30"/>
        <v>-629870193.25923383</v>
      </c>
      <c r="I50" s="105">
        <f t="shared" si="30"/>
        <v>-617101193.55278039</v>
      </c>
      <c r="J50" s="105">
        <f t="shared" si="30"/>
        <v>-400594344.40659118</v>
      </c>
      <c r="K50" s="105">
        <f t="shared" si="30"/>
        <v>-7810034.6679773331</v>
      </c>
      <c r="L50" s="105">
        <f t="shared" si="30"/>
        <v>0</v>
      </c>
      <c r="M50" s="105">
        <f t="shared" si="30"/>
        <v>0</v>
      </c>
      <c r="N50" s="105">
        <f>IF($D$22="Si",-MIN(($H$6+M30),(N49+N52)*($H$10-$H$12)/$H$10,($H$6)/3),-$H$6/10)</f>
        <v>0</v>
      </c>
      <c r="O50" s="105">
        <f t="shared" si="30"/>
        <v>0</v>
      </c>
      <c r="P50" s="105">
        <f>IF($D$22="Si",-MIN(($H$6+O30),(P49+P52)*($H$10-$H$12)/$H$10,($H$6)/3),-$H$6/10)</f>
        <v>0</v>
      </c>
      <c r="Q50" s="105">
        <f t="shared" si="30"/>
        <v>0</v>
      </c>
      <c r="R50" s="105">
        <f t="shared" si="30"/>
        <v>0</v>
      </c>
      <c r="S50" s="105">
        <f t="shared" si="30"/>
        <v>0</v>
      </c>
      <c r="T50" s="105">
        <f>IF($D$22="Si",-MIN(($H$6+S30),(T49+T52)*($H$10-$H$12)/$H$10,($H$6)/3),-$H$6/10)</f>
        <v>0</v>
      </c>
      <c r="U50" s="105">
        <f t="shared" si="30"/>
        <v>0</v>
      </c>
      <c r="V50" s="105">
        <f t="shared" si="30"/>
        <v>0</v>
      </c>
      <c r="W50" s="105">
        <f t="shared" si="30"/>
        <v>0</v>
      </c>
      <c r="X50" s="105">
        <f t="shared" si="30"/>
        <v>0</v>
      </c>
      <c r="Y50" s="105">
        <f>IF($D$22="Si",-MIN(($H$6+X30),(Y49+Y52)*($H$10-$H$12)/$H$10,($H$6)/3),-$H$6/10)</f>
        <v>0</v>
      </c>
      <c r="Z50" s="105">
        <f t="shared" si="30"/>
        <v>0</v>
      </c>
      <c r="AA50" s="105">
        <f t="shared" si="30"/>
        <v>0</v>
      </c>
      <c r="AB50" s="105">
        <f t="shared" si="30"/>
        <v>0</v>
      </c>
      <c r="AC50" s="105">
        <f t="shared" si="30"/>
        <v>0</v>
      </c>
      <c r="AD50" s="105">
        <f t="shared" si="30"/>
        <v>0</v>
      </c>
      <c r="AE50" s="105">
        <f t="shared" si="30"/>
        <v>0</v>
      </c>
      <c r="AF50" s="105">
        <f t="shared" si="30"/>
        <v>0</v>
      </c>
      <c r="AG50" s="105">
        <f t="shared" si="30"/>
        <v>0</v>
      </c>
      <c r="AH50" s="105"/>
      <c r="AI50" s="105"/>
      <c r="AJ50" s="105"/>
      <c r="AK50" s="105"/>
    </row>
    <row r="51" spans="1:37" s="100" customFormat="1" ht="16" customHeight="1" x14ac:dyDescent="0.45">
      <c r="B51" s="101" t="s">
        <v>103</v>
      </c>
      <c r="D51" s="111">
        <f>D49+D50</f>
        <v>167149588.5714286</v>
      </c>
      <c r="E51" s="111">
        <f t="shared" ref="E51:AG51" si="31">E49+E50</f>
        <v>479869308.84413826</v>
      </c>
      <c r="F51" s="111">
        <f t="shared" si="31"/>
        <v>434971911.08755136</v>
      </c>
      <c r="G51" s="111">
        <f t="shared" si="31"/>
        <v>488977367.08194435</v>
      </c>
      <c r="H51" s="111">
        <f t="shared" si="31"/>
        <v>472402644.94442546</v>
      </c>
      <c r="I51" s="111">
        <f t="shared" si="31"/>
        <v>462825895.16458535</v>
      </c>
      <c r="J51" s="111">
        <f t="shared" si="31"/>
        <v>300445758.30494344</v>
      </c>
      <c r="K51" s="111">
        <f t="shared" si="31"/>
        <v>780522759.52926588</v>
      </c>
      <c r="L51" s="111">
        <f t="shared" si="31"/>
        <v>1566691031.1465096</v>
      </c>
      <c r="M51" s="111">
        <f t="shared" si="31"/>
        <v>1708387746.1766584</v>
      </c>
      <c r="N51" s="111">
        <f t="shared" si="31"/>
        <v>1819105962.2946463</v>
      </c>
      <c r="O51" s="111">
        <f t="shared" si="31"/>
        <v>1911783842.0644937</v>
      </c>
      <c r="P51" s="111">
        <f t="shared" si="31"/>
        <v>2042684181.8626316</v>
      </c>
      <c r="Q51" s="111">
        <f t="shared" si="31"/>
        <v>2168748282.4780765</v>
      </c>
      <c r="R51" s="111">
        <f t="shared" si="31"/>
        <v>2265159952.2013412</v>
      </c>
      <c r="S51" s="111">
        <f t="shared" si="31"/>
        <v>2335262915.098103</v>
      </c>
      <c r="T51" s="111">
        <f t="shared" si="31"/>
        <v>2443578487.8245273</v>
      </c>
      <c r="U51" s="111">
        <f t="shared" si="31"/>
        <v>2526409897.8400536</v>
      </c>
      <c r="V51" s="111">
        <f t="shared" si="31"/>
        <v>2585937868.1414695</v>
      </c>
      <c r="W51" s="111">
        <f t="shared" si="31"/>
        <v>2697524139.3802958</v>
      </c>
      <c r="X51" s="111">
        <f t="shared" si="31"/>
        <v>2855860623.3343711</v>
      </c>
      <c r="Y51" s="111">
        <f t="shared" si="31"/>
        <v>3196144968.1072221</v>
      </c>
      <c r="Z51" s="111">
        <f t="shared" si="31"/>
        <v>3348537379.7465281</v>
      </c>
      <c r="AA51" s="111">
        <f t="shared" si="31"/>
        <v>3424448858.614778</v>
      </c>
      <c r="AB51" s="111">
        <f t="shared" si="31"/>
        <v>3567283948.2008891</v>
      </c>
      <c r="AC51" s="111">
        <f t="shared" si="31"/>
        <v>3676291262.7000413</v>
      </c>
      <c r="AD51" s="111">
        <f t="shared" si="31"/>
        <v>3859966828.5544333</v>
      </c>
      <c r="AE51" s="111">
        <f t="shared" si="31"/>
        <v>4052273045.8239956</v>
      </c>
      <c r="AF51" s="111">
        <f t="shared" si="31"/>
        <v>4253614942.2365775</v>
      </c>
      <c r="AG51" s="111">
        <f t="shared" si="31"/>
        <v>4464416471.6642704</v>
      </c>
      <c r="AH51" s="111"/>
      <c r="AI51" s="111"/>
      <c r="AJ51" s="111"/>
    </row>
    <row r="52" spans="1:37" s="103" customFormat="1" ht="16" customHeight="1" x14ac:dyDescent="0.45">
      <c r="B52" s="110" t="s">
        <v>104</v>
      </c>
      <c r="C52" s="109"/>
      <c r="D52" s="112">
        <f>IF($D$19="Si",-Amortizaciones!B34,0)</f>
        <v>0</v>
      </c>
      <c r="E52" s="112">
        <f>IF($D$19="Si",-Amortizaciones!C34,0)</f>
        <v>0</v>
      </c>
      <c r="F52" s="112">
        <f>IF($D$19="Si",-Amortizaciones!D34,0)</f>
        <v>0</v>
      </c>
      <c r="G52" s="112">
        <f>IF($D$19="Si",-Amortizaciones!E34,0)</f>
        <v>0</v>
      </c>
      <c r="H52" s="112">
        <f>IF($D$19="Si",-Amortizaciones!F34,0)</f>
        <v>0</v>
      </c>
      <c r="I52" s="112">
        <f>IF($D$19="Si",-Amortizaciones!G34,0)</f>
        <v>0</v>
      </c>
      <c r="J52" s="112">
        <f>IF($D$19="Si",-Amortizaciones!H34,0)</f>
        <v>0</v>
      </c>
      <c r="K52" s="112">
        <f>IF($D$19="Si",-Amortizaciones!J27,0)</f>
        <v>0</v>
      </c>
      <c r="L52" s="112">
        <f>IF($D$19="Si",-Amortizaciones!K27,0)</f>
        <v>0</v>
      </c>
      <c r="M52" s="112">
        <f>IF($D$19="Si",-Amortizaciones!L27,0)</f>
        <v>0</v>
      </c>
      <c r="N52" s="112">
        <f>IF($D$19="Si",-Amortizaciones!M27,0)</f>
        <v>0</v>
      </c>
      <c r="O52" s="112">
        <f>IF($D$19="Si",-Amortizaciones!N27,0)</f>
        <v>0</v>
      </c>
      <c r="P52" s="112">
        <f>IF($D$19="Si",-Amortizaciones!O27,0)</f>
        <v>0</v>
      </c>
      <c r="Q52" s="112">
        <f>IF($D$19="Si",-Amortizaciones!P27,0)</f>
        <v>0</v>
      </c>
      <c r="R52" s="112">
        <f>IF($D$19="Si",-Amortizaciones!Q27,0)</f>
        <v>0</v>
      </c>
      <c r="S52" s="112">
        <f>IF($D$19="Si",-Amortizaciones!R27,0)</f>
        <v>0</v>
      </c>
      <c r="T52" s="112">
        <f>IF($D$19="Si",-Amortizaciones!S27,0)</f>
        <v>0</v>
      </c>
      <c r="U52" s="112">
        <f>IF($D$19="Si",-Amortizaciones!T27,0)</f>
        <v>0</v>
      </c>
      <c r="V52" s="112">
        <f>IF($D$19="Si",-Amortizaciones!U27,0)</f>
        <v>0</v>
      </c>
      <c r="W52" s="112">
        <f>IF($D$19="Si",-Amortizaciones!V27,0)</f>
        <v>0</v>
      </c>
      <c r="X52" s="112">
        <f>IF($D$19="Si",-Amortizaciones!W27,0)</f>
        <v>0</v>
      </c>
      <c r="Y52" s="112">
        <f>IF($D$19="Si",-Amortizaciones!X27,0)</f>
        <v>0</v>
      </c>
      <c r="Z52" s="112">
        <f>IF($D$19="Si",-Amortizaciones!Y27,0)</f>
        <v>0</v>
      </c>
      <c r="AA52" s="112">
        <f>IF($D$19="Si",-Amortizaciones!Z27,0)</f>
        <v>0</v>
      </c>
      <c r="AB52" s="112">
        <f>IF($D$19="Si",-Amortizaciones!AA27,0)</f>
        <v>0</v>
      </c>
      <c r="AC52" s="112">
        <f>IF($D$19="Si",-Amortizaciones!AB27,0)</f>
        <v>0</v>
      </c>
      <c r="AD52" s="112">
        <f>IF($D$19="Si",-Amortizaciones!AC27,0)</f>
        <v>0</v>
      </c>
      <c r="AE52" s="112">
        <f>IF($D$19="Si",-Amortizaciones!AD27,0)</f>
        <v>0</v>
      </c>
      <c r="AF52" s="112">
        <f>IF($D$19="Si",-Amortizaciones!AE27,0)</f>
        <v>0</v>
      </c>
      <c r="AG52" s="112">
        <f>IF($D$19="Si",-Amortizaciones!AF27,0)</f>
        <v>0</v>
      </c>
    </row>
    <row r="53" spans="1:37" s="100" customFormat="1" ht="16" customHeight="1" x14ac:dyDescent="0.45">
      <c r="B53" s="101" t="s">
        <v>105</v>
      </c>
      <c r="D53" s="111">
        <f>D51+D52</f>
        <v>167149588.5714286</v>
      </c>
      <c r="E53" s="111">
        <f t="shared" ref="E53:AG53" si="32">E51+E52</f>
        <v>479869308.84413826</v>
      </c>
      <c r="F53" s="111">
        <f t="shared" si="32"/>
        <v>434971911.08755136</v>
      </c>
      <c r="G53" s="111">
        <f t="shared" si="32"/>
        <v>488977367.08194435</v>
      </c>
      <c r="H53" s="111">
        <f t="shared" si="32"/>
        <v>472402644.94442546</v>
      </c>
      <c r="I53" s="111">
        <f t="shared" si="32"/>
        <v>462825895.16458535</v>
      </c>
      <c r="J53" s="111">
        <f>J51+J52</f>
        <v>300445758.30494344</v>
      </c>
      <c r="K53" s="111">
        <f t="shared" si="32"/>
        <v>780522759.52926588</v>
      </c>
      <c r="L53" s="111">
        <f t="shared" si="32"/>
        <v>1566691031.1465096</v>
      </c>
      <c r="M53" s="111">
        <f t="shared" si="32"/>
        <v>1708387746.1766584</v>
      </c>
      <c r="N53" s="111">
        <f t="shared" si="32"/>
        <v>1819105962.2946463</v>
      </c>
      <c r="O53" s="111">
        <f t="shared" si="32"/>
        <v>1911783842.0644937</v>
      </c>
      <c r="P53" s="111">
        <f t="shared" si="32"/>
        <v>2042684181.8626316</v>
      </c>
      <c r="Q53" s="111">
        <f t="shared" si="32"/>
        <v>2168748282.4780765</v>
      </c>
      <c r="R53" s="111">
        <f t="shared" si="32"/>
        <v>2265159952.2013412</v>
      </c>
      <c r="S53" s="111">
        <f t="shared" si="32"/>
        <v>2335262915.098103</v>
      </c>
      <c r="T53" s="111">
        <f t="shared" si="32"/>
        <v>2443578487.8245273</v>
      </c>
      <c r="U53" s="111">
        <f t="shared" si="32"/>
        <v>2526409897.8400536</v>
      </c>
      <c r="V53" s="111">
        <f t="shared" si="32"/>
        <v>2585937868.1414695</v>
      </c>
      <c r="W53" s="111">
        <f t="shared" si="32"/>
        <v>2697524139.3802958</v>
      </c>
      <c r="X53" s="111">
        <f t="shared" si="32"/>
        <v>2855860623.3343711</v>
      </c>
      <c r="Y53" s="111">
        <f t="shared" si="32"/>
        <v>3196144968.1072221</v>
      </c>
      <c r="Z53" s="111">
        <f t="shared" si="32"/>
        <v>3348537379.7465281</v>
      </c>
      <c r="AA53" s="111">
        <f t="shared" si="32"/>
        <v>3424448858.614778</v>
      </c>
      <c r="AB53" s="111">
        <f t="shared" si="32"/>
        <v>3567283948.2008891</v>
      </c>
      <c r="AC53" s="111">
        <f t="shared" si="32"/>
        <v>3676291262.7000413</v>
      </c>
      <c r="AD53" s="111">
        <f t="shared" si="32"/>
        <v>3859966828.5544333</v>
      </c>
      <c r="AE53" s="111">
        <f t="shared" si="32"/>
        <v>4052273045.8239956</v>
      </c>
      <c r="AF53" s="111">
        <f t="shared" si="32"/>
        <v>4253614942.2365775</v>
      </c>
      <c r="AG53" s="111">
        <f t="shared" si="32"/>
        <v>4464416471.6642704</v>
      </c>
      <c r="AH53" s="111"/>
      <c r="AI53" s="111"/>
      <c r="AJ53" s="111"/>
    </row>
    <row r="54" spans="1:37" s="103" customFormat="1" ht="16" customHeight="1" x14ac:dyDescent="0.45">
      <c r="B54" s="110" t="s">
        <v>106</v>
      </c>
      <c r="D54" s="105">
        <f>D35*$H$10</f>
        <v>58502355.999999993</v>
      </c>
      <c r="E54" s="105">
        <f>E35*$H$10</f>
        <v>167954258.09544834</v>
      </c>
      <c r="F54" s="105">
        <f t="shared" ref="F54:AG54" si="33">F35*$H$10</f>
        <v>152240168.88064298</v>
      </c>
      <c r="G54" s="105">
        <f>G35*$H$10</f>
        <v>171142078.47868052</v>
      </c>
      <c r="H54" s="105">
        <f t="shared" si="33"/>
        <v>165340925.73054889</v>
      </c>
      <c r="I54" s="105">
        <f t="shared" si="33"/>
        <v>161989063.30760485</v>
      </c>
      <c r="J54" s="105">
        <f t="shared" si="33"/>
        <v>105156015.4067302</v>
      </c>
      <c r="K54" s="105">
        <f t="shared" si="33"/>
        <v>136591482.91762152</v>
      </c>
      <c r="L54" s="105">
        <f t="shared" si="33"/>
        <v>274170930.45063919</v>
      </c>
      <c r="M54" s="105">
        <f t="shared" si="33"/>
        <v>352448124.53009111</v>
      </c>
      <c r="N54" s="105">
        <f t="shared" si="33"/>
        <v>636687086.8031261</v>
      </c>
      <c r="O54" s="105">
        <f t="shared" si="33"/>
        <v>669124344.72257268</v>
      </c>
      <c r="P54" s="105">
        <f>P35*$H$10</f>
        <v>714939463.65192103</v>
      </c>
      <c r="Q54" s="105">
        <f t="shared" si="33"/>
        <v>759061898.86732674</v>
      </c>
      <c r="R54" s="105">
        <f t="shared" si="33"/>
        <v>792805983.27046931</v>
      </c>
      <c r="S54" s="105">
        <f t="shared" si="33"/>
        <v>817342020.28433597</v>
      </c>
      <c r="T54" s="105">
        <f t="shared" si="33"/>
        <v>855252470.73858452</v>
      </c>
      <c r="U54" s="105">
        <f t="shared" si="33"/>
        <v>884243464.24401867</v>
      </c>
      <c r="V54" s="105">
        <f t="shared" si="33"/>
        <v>905078253.84951425</v>
      </c>
      <c r="W54" s="105">
        <f t="shared" si="33"/>
        <v>944133448.78310347</v>
      </c>
      <c r="X54" s="105">
        <f t="shared" si="33"/>
        <v>999551218.16702986</v>
      </c>
      <c r="Y54" s="105">
        <f t="shared" si="33"/>
        <v>1118650738.8375278</v>
      </c>
      <c r="Z54" s="105">
        <f t="shared" si="33"/>
        <v>1171988082.9112847</v>
      </c>
      <c r="AA54" s="105">
        <f t="shared" si="33"/>
        <v>1198557100.5151722</v>
      </c>
      <c r="AB54" s="105">
        <f t="shared" si="33"/>
        <v>1248549381.870311</v>
      </c>
      <c r="AC54" s="105">
        <f t="shared" si="33"/>
        <v>1286701941.9450145</v>
      </c>
      <c r="AD54" s="105">
        <f t="shared" si="33"/>
        <v>1350988389.9940517</v>
      </c>
      <c r="AE54" s="105">
        <f t="shared" si="33"/>
        <v>1418295566.0383983</v>
      </c>
      <c r="AF54" s="105">
        <f t="shared" si="33"/>
        <v>1488765229.7828021</v>
      </c>
      <c r="AG54" s="105">
        <f t="shared" si="33"/>
        <v>1562545765.0824945</v>
      </c>
      <c r="AH54" s="105"/>
      <c r="AI54" s="105"/>
      <c r="AJ54" s="105"/>
      <c r="AK54" s="105"/>
    </row>
    <row r="55" spans="1:37" s="100" customFormat="1" ht="16" customHeight="1" x14ac:dyDescent="0.45">
      <c r="B55" s="101" t="s">
        <v>107</v>
      </c>
      <c r="C55" s="111"/>
      <c r="D55" s="111">
        <f t="shared" ref="D55:AG55" si="34">D53-D54</f>
        <v>108647232.5714286</v>
      </c>
      <c r="E55" s="111">
        <f t="shared" si="34"/>
        <v>311915050.74868989</v>
      </c>
      <c r="F55" s="111">
        <f t="shared" si="34"/>
        <v>282731742.20690835</v>
      </c>
      <c r="G55" s="111">
        <f t="shared" si="34"/>
        <v>317835288.60326385</v>
      </c>
      <c r="H55" s="111">
        <f t="shared" si="34"/>
        <v>307061719.21387661</v>
      </c>
      <c r="I55" s="111">
        <f t="shared" si="34"/>
        <v>300836831.8569805</v>
      </c>
      <c r="J55" s="111">
        <f t="shared" si="34"/>
        <v>195289742.89821324</v>
      </c>
      <c r="K55" s="111">
        <f t="shared" si="34"/>
        <v>643931276.61164439</v>
      </c>
      <c r="L55" s="111">
        <f t="shared" si="34"/>
        <v>1292520100.6958704</v>
      </c>
      <c r="M55" s="111">
        <f t="shared" si="34"/>
        <v>1355939621.6465673</v>
      </c>
      <c r="N55" s="111">
        <f t="shared" si="34"/>
        <v>1182418875.4915202</v>
      </c>
      <c r="O55" s="111">
        <f t="shared" si="34"/>
        <v>1242659497.3419209</v>
      </c>
      <c r="P55" s="111">
        <f t="shared" si="34"/>
        <v>1327744718.2107105</v>
      </c>
      <c r="Q55" s="111">
        <f t="shared" si="34"/>
        <v>1409686383.6107497</v>
      </c>
      <c r="R55" s="111">
        <f t="shared" si="34"/>
        <v>1472353968.930872</v>
      </c>
      <c r="S55" s="111">
        <f t="shared" si="34"/>
        <v>1517920894.813767</v>
      </c>
      <c r="T55" s="111">
        <f t="shared" si="34"/>
        <v>1588326017.0859427</v>
      </c>
      <c r="U55" s="111">
        <f t="shared" si="34"/>
        <v>1642166433.596035</v>
      </c>
      <c r="V55" s="111">
        <f t="shared" si="34"/>
        <v>1680859614.2919552</v>
      </c>
      <c r="W55" s="111">
        <f t="shared" si="34"/>
        <v>1753390690.5971923</v>
      </c>
      <c r="X55" s="111">
        <f t="shared" si="34"/>
        <v>1856309405.1673412</v>
      </c>
      <c r="Y55" s="111">
        <f t="shared" si="34"/>
        <v>2077494229.2696943</v>
      </c>
      <c r="Z55" s="111">
        <f t="shared" si="34"/>
        <v>2176549296.8352432</v>
      </c>
      <c r="AA55" s="111">
        <f t="shared" si="34"/>
        <v>2225891758.0996056</v>
      </c>
      <c r="AB55" s="111">
        <f t="shared" si="34"/>
        <v>2318734566.3305779</v>
      </c>
      <c r="AC55" s="111">
        <f t="shared" si="34"/>
        <v>2389589320.7550268</v>
      </c>
      <c r="AD55" s="111">
        <f t="shared" si="34"/>
        <v>2508978438.5603819</v>
      </c>
      <c r="AE55" s="111">
        <f t="shared" si="34"/>
        <v>2633977479.7855973</v>
      </c>
      <c r="AF55" s="111">
        <f t="shared" si="34"/>
        <v>2764849712.4537754</v>
      </c>
      <c r="AG55" s="111">
        <f t="shared" si="34"/>
        <v>2901870706.5817757</v>
      </c>
      <c r="AH55" s="111"/>
      <c r="AI55" s="111"/>
      <c r="AJ55" s="111"/>
      <c r="AK55" s="111"/>
    </row>
    <row r="56" spans="1:37" x14ac:dyDescent="0.4">
      <c r="B56" s="245"/>
      <c r="C56" s="87"/>
      <c r="D56" s="88"/>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row>
    <row r="57" spans="1:37" ht="16.3" thickBot="1" x14ac:dyDescent="0.5">
      <c r="B57" s="142" t="s">
        <v>108</v>
      </c>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row>
    <row r="58" spans="1:37" ht="15.9" x14ac:dyDescent="0.45">
      <c r="B58" s="101" t="s">
        <v>85</v>
      </c>
      <c r="C58" s="100">
        <v>0</v>
      </c>
      <c r="D58" s="100">
        <v>1</v>
      </c>
      <c r="E58" s="100">
        <v>2</v>
      </c>
      <c r="F58" s="100">
        <v>3</v>
      </c>
      <c r="G58" s="100">
        <v>4</v>
      </c>
      <c r="H58" s="100">
        <v>5</v>
      </c>
      <c r="I58" s="100">
        <v>6</v>
      </c>
      <c r="J58" s="100">
        <v>7</v>
      </c>
      <c r="K58" s="100">
        <v>8</v>
      </c>
      <c r="L58" s="100">
        <v>9</v>
      </c>
      <c r="M58" s="100">
        <v>10</v>
      </c>
      <c r="N58" s="100">
        <v>11</v>
      </c>
      <c r="O58" s="100">
        <v>12</v>
      </c>
      <c r="P58" s="100">
        <v>13</v>
      </c>
      <c r="Q58" s="100">
        <v>14</v>
      </c>
      <c r="R58" s="100">
        <v>15</v>
      </c>
      <c r="S58" s="100">
        <v>16</v>
      </c>
      <c r="T58" s="100">
        <v>17</v>
      </c>
      <c r="U58" s="100">
        <v>18</v>
      </c>
      <c r="V58" s="100">
        <v>19</v>
      </c>
      <c r="W58" s="100">
        <v>20</v>
      </c>
      <c r="X58" s="100">
        <v>21</v>
      </c>
      <c r="Y58" s="100">
        <v>22</v>
      </c>
      <c r="Z58" s="100">
        <v>23</v>
      </c>
      <c r="AA58" s="100">
        <v>24</v>
      </c>
      <c r="AB58" s="100">
        <v>25</v>
      </c>
      <c r="AC58" s="100">
        <v>26</v>
      </c>
      <c r="AD58" s="100">
        <v>27</v>
      </c>
      <c r="AE58" s="100">
        <v>28</v>
      </c>
      <c r="AF58" s="100">
        <v>29</v>
      </c>
      <c r="AG58" s="100">
        <v>30</v>
      </c>
    </row>
    <row r="59" spans="1:37" s="114" customFormat="1" x14ac:dyDescent="0.4">
      <c r="A59" s="113"/>
      <c r="B59" s="145" t="s">
        <v>109</v>
      </c>
      <c r="D59" s="114">
        <f>D51</f>
        <v>167149588.5714286</v>
      </c>
      <c r="E59" s="114">
        <f t="shared" ref="E59:AG59" si="35">E51</f>
        <v>479869308.84413826</v>
      </c>
      <c r="F59" s="114">
        <f t="shared" si="35"/>
        <v>434971911.08755136</v>
      </c>
      <c r="G59" s="114">
        <f t="shared" si="35"/>
        <v>488977367.08194435</v>
      </c>
      <c r="H59" s="114">
        <f t="shared" si="35"/>
        <v>472402644.94442546</v>
      </c>
      <c r="I59" s="114">
        <f t="shared" si="35"/>
        <v>462825895.16458535</v>
      </c>
      <c r="J59" s="114">
        <f t="shared" si="35"/>
        <v>300445758.30494344</v>
      </c>
      <c r="K59" s="114">
        <f t="shared" si="35"/>
        <v>780522759.52926588</v>
      </c>
      <c r="L59" s="114">
        <f t="shared" si="35"/>
        <v>1566691031.1465096</v>
      </c>
      <c r="M59" s="114">
        <f t="shared" si="35"/>
        <v>1708387746.1766584</v>
      </c>
      <c r="N59" s="114">
        <f t="shared" si="35"/>
        <v>1819105962.2946463</v>
      </c>
      <c r="O59" s="114">
        <f t="shared" si="35"/>
        <v>1911783842.0644937</v>
      </c>
      <c r="P59" s="114">
        <f t="shared" si="35"/>
        <v>2042684181.8626316</v>
      </c>
      <c r="Q59" s="114">
        <f t="shared" si="35"/>
        <v>2168748282.4780765</v>
      </c>
      <c r="R59" s="114">
        <f t="shared" si="35"/>
        <v>2265159952.2013412</v>
      </c>
      <c r="S59" s="114">
        <f t="shared" si="35"/>
        <v>2335262915.098103</v>
      </c>
      <c r="T59" s="114">
        <f t="shared" si="35"/>
        <v>2443578487.8245273</v>
      </c>
      <c r="U59" s="114">
        <f t="shared" si="35"/>
        <v>2526409897.8400536</v>
      </c>
      <c r="V59" s="114">
        <f t="shared" si="35"/>
        <v>2585937868.1414695</v>
      </c>
      <c r="W59" s="114">
        <f t="shared" si="35"/>
        <v>2697524139.3802958</v>
      </c>
      <c r="X59" s="114">
        <f t="shared" si="35"/>
        <v>2855860623.3343711</v>
      </c>
      <c r="Y59" s="114">
        <f t="shared" si="35"/>
        <v>3196144968.1072221</v>
      </c>
      <c r="Z59" s="114">
        <f t="shared" si="35"/>
        <v>3348537379.7465281</v>
      </c>
      <c r="AA59" s="114">
        <f t="shared" si="35"/>
        <v>3424448858.614778</v>
      </c>
      <c r="AB59" s="114">
        <f t="shared" si="35"/>
        <v>3567283948.2008891</v>
      </c>
      <c r="AC59" s="114">
        <f t="shared" si="35"/>
        <v>3676291262.7000413</v>
      </c>
      <c r="AD59" s="114">
        <f t="shared" si="35"/>
        <v>3859966828.5544333</v>
      </c>
      <c r="AE59" s="114">
        <f t="shared" si="35"/>
        <v>4052273045.8239956</v>
      </c>
      <c r="AF59" s="114">
        <f t="shared" si="35"/>
        <v>4253614942.2365775</v>
      </c>
      <c r="AG59" s="114">
        <f t="shared" si="35"/>
        <v>4464416471.6642704</v>
      </c>
    </row>
    <row r="60" spans="1:37" x14ac:dyDescent="0.4">
      <c r="B60" s="86" t="s">
        <v>110</v>
      </c>
      <c r="D60" s="147">
        <f t="shared" ref="D60:AG60" si="36">-D59*$H$10</f>
        <v>-58502356.000000007</v>
      </c>
      <c r="E60" s="147">
        <f t="shared" si="36"/>
        <v>-167954258.09544837</v>
      </c>
      <c r="F60" s="147">
        <f t="shared" si="36"/>
        <v>-152240168.88064295</v>
      </c>
      <c r="G60" s="147">
        <f t="shared" si="36"/>
        <v>-171142078.47868052</v>
      </c>
      <c r="H60" s="147">
        <f t="shared" si="36"/>
        <v>-165340925.73054889</v>
      </c>
      <c r="I60" s="147">
        <f t="shared" si="36"/>
        <v>-161989063.30760485</v>
      </c>
      <c r="J60" s="147">
        <f t="shared" si="36"/>
        <v>-105156015.4067302</v>
      </c>
      <c r="K60" s="147">
        <f t="shared" si="36"/>
        <v>-273182965.83524305</v>
      </c>
      <c r="L60" s="147">
        <f t="shared" si="36"/>
        <v>-548341860.90127838</v>
      </c>
      <c r="M60" s="147">
        <f t="shared" si="36"/>
        <v>-597935711.16183043</v>
      </c>
      <c r="N60" s="147">
        <f t="shared" si="36"/>
        <v>-636687086.8031261</v>
      </c>
      <c r="O60" s="147">
        <f t="shared" si="36"/>
        <v>-669124344.72257268</v>
      </c>
      <c r="P60" s="147">
        <f t="shared" si="36"/>
        <v>-714939463.65192103</v>
      </c>
      <c r="Q60" s="147">
        <f t="shared" si="36"/>
        <v>-759061898.86732674</v>
      </c>
      <c r="R60" s="147">
        <f t="shared" si="36"/>
        <v>-792805983.27046931</v>
      </c>
      <c r="S60" s="147">
        <f t="shared" si="36"/>
        <v>-817342020.28433597</v>
      </c>
      <c r="T60" s="147">
        <f t="shared" si="36"/>
        <v>-855252470.73858452</v>
      </c>
      <c r="U60" s="147">
        <f t="shared" si="36"/>
        <v>-884243464.24401867</v>
      </c>
      <c r="V60" s="147">
        <f t="shared" si="36"/>
        <v>-905078253.84951425</v>
      </c>
      <c r="W60" s="147">
        <f t="shared" si="36"/>
        <v>-944133448.78310347</v>
      </c>
      <c r="X60" s="147">
        <f t="shared" si="36"/>
        <v>-999551218.16702986</v>
      </c>
      <c r="Y60" s="147">
        <f t="shared" si="36"/>
        <v>-1118650738.8375278</v>
      </c>
      <c r="Z60" s="147">
        <f t="shared" si="36"/>
        <v>-1171988082.9112847</v>
      </c>
      <c r="AA60" s="147">
        <f t="shared" si="36"/>
        <v>-1198557100.5151722</v>
      </c>
      <c r="AB60" s="147">
        <f t="shared" si="36"/>
        <v>-1248549381.870311</v>
      </c>
      <c r="AC60" s="147">
        <f t="shared" si="36"/>
        <v>-1286701941.9450145</v>
      </c>
      <c r="AD60" s="147">
        <f t="shared" si="36"/>
        <v>-1350988389.9940517</v>
      </c>
      <c r="AE60" s="147">
        <f t="shared" si="36"/>
        <v>-1418295566.0383983</v>
      </c>
      <c r="AF60" s="147">
        <f t="shared" si="36"/>
        <v>-1488765229.7828021</v>
      </c>
      <c r="AG60" s="147">
        <f t="shared" si="36"/>
        <v>-1562545765.0824945</v>
      </c>
    </row>
    <row r="61" spans="1:37" x14ac:dyDescent="0.4">
      <c r="B61" s="85" t="s">
        <v>111</v>
      </c>
      <c r="C61" s="85"/>
      <c r="D61" s="149">
        <f>D59+D60</f>
        <v>108647232.5714286</v>
      </c>
      <c r="E61" s="149">
        <f t="shared" ref="E61:AG61" si="37">E59+E60</f>
        <v>311915050.74868989</v>
      </c>
      <c r="F61" s="149">
        <f t="shared" si="37"/>
        <v>282731742.2069084</v>
      </c>
      <c r="G61" s="149">
        <f t="shared" si="37"/>
        <v>317835288.60326385</v>
      </c>
      <c r="H61" s="149">
        <f t="shared" si="37"/>
        <v>307061719.21387661</v>
      </c>
      <c r="I61" s="149">
        <f t="shared" si="37"/>
        <v>300836831.8569805</v>
      </c>
      <c r="J61" s="149">
        <f t="shared" si="37"/>
        <v>195289742.89821324</v>
      </c>
      <c r="K61" s="149">
        <f t="shared" si="37"/>
        <v>507339793.69402283</v>
      </c>
      <c r="L61" s="149">
        <f t="shared" si="37"/>
        <v>1018349170.2452313</v>
      </c>
      <c r="M61" s="149">
        <f t="shared" si="37"/>
        <v>1110452035.014828</v>
      </c>
      <c r="N61" s="149">
        <f t="shared" si="37"/>
        <v>1182418875.4915202</v>
      </c>
      <c r="O61" s="149">
        <f t="shared" si="37"/>
        <v>1242659497.3419209</v>
      </c>
      <c r="P61" s="149">
        <f t="shared" si="37"/>
        <v>1327744718.2107105</v>
      </c>
      <c r="Q61" s="149">
        <f t="shared" si="37"/>
        <v>1409686383.6107497</v>
      </c>
      <c r="R61" s="149">
        <f t="shared" si="37"/>
        <v>1472353968.930872</v>
      </c>
      <c r="S61" s="149">
        <f t="shared" si="37"/>
        <v>1517920894.813767</v>
      </c>
      <c r="T61" s="149">
        <f t="shared" si="37"/>
        <v>1588326017.0859427</v>
      </c>
      <c r="U61" s="149">
        <f t="shared" si="37"/>
        <v>1642166433.596035</v>
      </c>
      <c r="V61" s="149">
        <f t="shared" si="37"/>
        <v>1680859614.2919552</v>
      </c>
      <c r="W61" s="149">
        <f t="shared" si="37"/>
        <v>1753390690.5971923</v>
      </c>
      <c r="X61" s="149">
        <f t="shared" si="37"/>
        <v>1856309405.1673412</v>
      </c>
      <c r="Y61" s="149">
        <f t="shared" si="37"/>
        <v>2077494229.2696943</v>
      </c>
      <c r="Z61" s="149">
        <f t="shared" si="37"/>
        <v>2176549296.8352432</v>
      </c>
      <c r="AA61" s="149">
        <f t="shared" si="37"/>
        <v>2225891758.0996056</v>
      </c>
      <c r="AB61" s="149">
        <f t="shared" si="37"/>
        <v>2318734566.3305779</v>
      </c>
      <c r="AC61" s="149">
        <f t="shared" si="37"/>
        <v>2389589320.7550268</v>
      </c>
      <c r="AD61" s="149">
        <f t="shared" si="37"/>
        <v>2508978438.5603819</v>
      </c>
      <c r="AE61" s="149">
        <f t="shared" si="37"/>
        <v>2633977479.7855973</v>
      </c>
      <c r="AF61" s="149">
        <f t="shared" si="37"/>
        <v>2764849712.4537754</v>
      </c>
      <c r="AG61" s="149">
        <f t="shared" si="37"/>
        <v>2901870706.5817757</v>
      </c>
    </row>
    <row r="62" spans="1:37" ht="17.25" customHeight="1" x14ac:dyDescent="0.4">
      <c r="B62" s="86" t="s">
        <v>112</v>
      </c>
      <c r="C62" s="147">
        <f>D67-D60-SUM(D45:D48)-D42-D43</f>
        <v>471660000</v>
      </c>
      <c r="D62" s="147">
        <f>-D50</f>
        <v>222866118.09523809</v>
      </c>
      <c r="E62" s="147">
        <f t="shared" ref="E62:AG62" si="38">-E50</f>
        <v>639825745.12551749</v>
      </c>
      <c r="F62" s="147">
        <f t="shared" si="38"/>
        <v>579962548.11673522</v>
      </c>
      <c r="G62" s="147">
        <f t="shared" si="38"/>
        <v>651969822.77592576</v>
      </c>
      <c r="H62" s="147">
        <f>-H50</f>
        <v>629870193.25923383</v>
      </c>
      <c r="I62" s="147">
        <f>-I50</f>
        <v>617101193.55278039</v>
      </c>
      <c r="J62" s="147">
        <f t="shared" si="38"/>
        <v>400594344.40659118</v>
      </c>
      <c r="K62" s="147">
        <f t="shared" si="38"/>
        <v>7810034.6679773331</v>
      </c>
      <c r="L62" s="147">
        <f t="shared" si="38"/>
        <v>0</v>
      </c>
      <c r="M62" s="147">
        <f t="shared" si="38"/>
        <v>0</v>
      </c>
      <c r="N62" s="147">
        <f t="shared" si="38"/>
        <v>0</v>
      </c>
      <c r="O62" s="147">
        <f t="shared" si="38"/>
        <v>0</v>
      </c>
      <c r="P62" s="147">
        <f t="shared" si="38"/>
        <v>0</v>
      </c>
      <c r="Q62" s="147">
        <f t="shared" si="38"/>
        <v>0</v>
      </c>
      <c r="R62" s="147">
        <f t="shared" si="38"/>
        <v>0</v>
      </c>
      <c r="S62" s="147">
        <f t="shared" si="38"/>
        <v>0</v>
      </c>
      <c r="T62" s="147">
        <f t="shared" si="38"/>
        <v>0</v>
      </c>
      <c r="U62" s="147">
        <f t="shared" si="38"/>
        <v>0</v>
      </c>
      <c r="V62" s="147">
        <f t="shared" si="38"/>
        <v>0</v>
      </c>
      <c r="W62" s="147">
        <f t="shared" si="38"/>
        <v>0</v>
      </c>
      <c r="X62" s="147">
        <f t="shared" si="38"/>
        <v>0</v>
      </c>
      <c r="Y62" s="147">
        <f t="shared" si="38"/>
        <v>0</v>
      </c>
      <c r="Z62" s="147">
        <f t="shared" si="38"/>
        <v>0</v>
      </c>
      <c r="AA62" s="147">
        <f t="shared" si="38"/>
        <v>0</v>
      </c>
      <c r="AB62" s="147">
        <f t="shared" si="38"/>
        <v>0</v>
      </c>
      <c r="AC62" s="147">
        <f t="shared" si="38"/>
        <v>0</v>
      </c>
      <c r="AD62" s="147">
        <f t="shared" si="38"/>
        <v>0</v>
      </c>
      <c r="AE62" s="147">
        <f t="shared" si="38"/>
        <v>0</v>
      </c>
      <c r="AF62" s="147">
        <f t="shared" si="38"/>
        <v>0</v>
      </c>
      <c r="AG62" s="147">
        <f t="shared" si="38"/>
        <v>0</v>
      </c>
    </row>
    <row r="63" spans="1:37" ht="17.25" customHeight="1" x14ac:dyDescent="0.4">
      <c r="B63" s="86" t="s">
        <v>113</v>
      </c>
      <c r="D63" s="147">
        <f t="shared" ref="D63:AG63" si="39">D33*$H$10</f>
        <v>1.0430812835693359E-8</v>
      </c>
      <c r="E63" s="147">
        <f t="shared" si="39"/>
        <v>4.1723251342773435E-8</v>
      </c>
      <c r="F63" s="147">
        <f t="shared" si="39"/>
        <v>-2.0861625671386717E-8</v>
      </c>
      <c r="G63" s="147">
        <f t="shared" si="39"/>
        <v>-2.0861625671386717E-8</v>
      </c>
      <c r="H63" s="147">
        <f t="shared" si="39"/>
        <v>2.0861625671386717E-8</v>
      </c>
      <c r="I63" s="147">
        <f t="shared" si="39"/>
        <v>2.0861625671386717E-8</v>
      </c>
      <c r="J63" s="147">
        <f t="shared" si="39"/>
        <v>0</v>
      </c>
      <c r="K63" s="147">
        <f t="shared" si="39"/>
        <v>136591482.91762152</v>
      </c>
      <c r="L63" s="147">
        <f t="shared" si="39"/>
        <v>274170930.45063919</v>
      </c>
      <c r="M63" s="147">
        <f t="shared" si="39"/>
        <v>245487586.63173926</v>
      </c>
      <c r="N63" s="147">
        <f t="shared" si="39"/>
        <v>0</v>
      </c>
      <c r="O63" s="147">
        <f t="shared" si="39"/>
        <v>0</v>
      </c>
      <c r="P63" s="147">
        <f t="shared" si="39"/>
        <v>0</v>
      </c>
      <c r="Q63" s="147">
        <f t="shared" si="39"/>
        <v>0</v>
      </c>
      <c r="R63" s="147">
        <f t="shared" si="39"/>
        <v>0</v>
      </c>
      <c r="S63" s="147">
        <f t="shared" si="39"/>
        <v>0</v>
      </c>
      <c r="T63" s="147">
        <f t="shared" si="39"/>
        <v>0</v>
      </c>
      <c r="U63" s="147">
        <f t="shared" si="39"/>
        <v>0</v>
      </c>
      <c r="V63" s="147">
        <f t="shared" si="39"/>
        <v>0</v>
      </c>
      <c r="W63" s="147">
        <f t="shared" si="39"/>
        <v>0</v>
      </c>
      <c r="X63" s="147">
        <f t="shared" si="39"/>
        <v>0</v>
      </c>
      <c r="Y63" s="147">
        <f t="shared" si="39"/>
        <v>0</v>
      </c>
      <c r="Z63" s="147">
        <f t="shared" si="39"/>
        <v>0</v>
      </c>
      <c r="AA63" s="147">
        <f t="shared" si="39"/>
        <v>0</v>
      </c>
      <c r="AB63" s="147">
        <f t="shared" si="39"/>
        <v>0</v>
      </c>
      <c r="AC63" s="147">
        <f t="shared" si="39"/>
        <v>0</v>
      </c>
      <c r="AD63" s="147">
        <f t="shared" si="39"/>
        <v>0</v>
      </c>
      <c r="AE63" s="147">
        <f t="shared" si="39"/>
        <v>0</v>
      </c>
      <c r="AF63" s="147">
        <f t="shared" si="39"/>
        <v>0</v>
      </c>
      <c r="AG63" s="147">
        <f t="shared" si="39"/>
        <v>0</v>
      </c>
    </row>
    <row r="64" spans="1:37" x14ac:dyDescent="0.4">
      <c r="B64" s="85" t="s">
        <v>114</v>
      </c>
      <c r="C64" s="85"/>
      <c r="D64" s="149">
        <f>SUM(D61:D63)</f>
        <v>331513350.66666669</v>
      </c>
      <c r="E64" s="149">
        <f>SUM(E61:E63)</f>
        <v>951740795.87420738</v>
      </c>
      <c r="F64" s="149">
        <f t="shared" ref="F64:AG64" si="40">SUM(F61:F63)</f>
        <v>862694290.32364368</v>
      </c>
      <c r="G64" s="149">
        <f t="shared" si="40"/>
        <v>969805111.37918961</v>
      </c>
      <c r="H64" s="149">
        <f t="shared" si="40"/>
        <v>936931912.47311044</v>
      </c>
      <c r="I64" s="149">
        <f t="shared" si="40"/>
        <v>917938025.40976095</v>
      </c>
      <c r="J64" s="149">
        <f t="shared" si="40"/>
        <v>595884087.30480444</v>
      </c>
      <c r="K64" s="149">
        <f t="shared" si="40"/>
        <v>651741311.27962172</v>
      </c>
      <c r="L64" s="149">
        <f>SUM(L61:L63)</f>
        <v>1292520100.6958704</v>
      </c>
      <c r="M64" s="149">
        <f t="shared" si="40"/>
        <v>1355939621.6465673</v>
      </c>
      <c r="N64" s="149">
        <f t="shared" si="40"/>
        <v>1182418875.4915202</v>
      </c>
      <c r="O64" s="149">
        <f t="shared" si="40"/>
        <v>1242659497.3419209</v>
      </c>
      <c r="P64" s="149">
        <f t="shared" si="40"/>
        <v>1327744718.2107105</v>
      </c>
      <c r="Q64" s="149">
        <f t="shared" si="40"/>
        <v>1409686383.6107497</v>
      </c>
      <c r="R64" s="149">
        <f t="shared" si="40"/>
        <v>1472353968.930872</v>
      </c>
      <c r="S64" s="149">
        <f t="shared" si="40"/>
        <v>1517920894.813767</v>
      </c>
      <c r="T64" s="149">
        <f t="shared" si="40"/>
        <v>1588326017.0859427</v>
      </c>
      <c r="U64" s="149">
        <f t="shared" si="40"/>
        <v>1642166433.596035</v>
      </c>
      <c r="V64" s="149">
        <f t="shared" si="40"/>
        <v>1680859614.2919552</v>
      </c>
      <c r="W64" s="149">
        <f t="shared" si="40"/>
        <v>1753390690.5971923</v>
      </c>
      <c r="X64" s="149">
        <f t="shared" si="40"/>
        <v>1856309405.1673412</v>
      </c>
      <c r="Y64" s="149">
        <f t="shared" si="40"/>
        <v>2077494229.2696943</v>
      </c>
      <c r="Z64" s="149">
        <f t="shared" si="40"/>
        <v>2176549296.8352432</v>
      </c>
      <c r="AA64" s="149">
        <f t="shared" si="40"/>
        <v>2225891758.0996056</v>
      </c>
      <c r="AB64" s="149">
        <f t="shared" si="40"/>
        <v>2318734566.3305779</v>
      </c>
      <c r="AC64" s="149">
        <f t="shared" si="40"/>
        <v>2389589320.7550268</v>
      </c>
      <c r="AD64" s="149">
        <f t="shared" si="40"/>
        <v>2508978438.5603819</v>
      </c>
      <c r="AE64" s="149">
        <f t="shared" si="40"/>
        <v>2633977479.7855973</v>
      </c>
      <c r="AF64" s="149">
        <f t="shared" si="40"/>
        <v>2764849712.4537754</v>
      </c>
      <c r="AG64" s="149">
        <f t="shared" si="40"/>
        <v>2901870706.5817757</v>
      </c>
    </row>
    <row r="65" spans="2:33" x14ac:dyDescent="0.4">
      <c r="B65" s="86" t="s">
        <v>115</v>
      </c>
      <c r="D65" s="147">
        <v>0</v>
      </c>
      <c r="E65" s="147">
        <v>0</v>
      </c>
      <c r="F65" s="147">
        <v>0</v>
      </c>
      <c r="G65" s="147">
        <v>0</v>
      </c>
      <c r="H65" s="147">
        <v>0</v>
      </c>
      <c r="I65" s="147">
        <v>0</v>
      </c>
      <c r="J65" s="147">
        <v>0</v>
      </c>
      <c r="K65" s="147">
        <v>0</v>
      </c>
      <c r="L65" s="147">
        <v>0</v>
      </c>
      <c r="M65" s="147">
        <v>0</v>
      </c>
      <c r="N65" s="147">
        <v>0</v>
      </c>
      <c r="O65" s="147">
        <v>0</v>
      </c>
      <c r="P65" s="147">
        <v>0</v>
      </c>
      <c r="Q65" s="147">
        <v>0</v>
      </c>
      <c r="R65" s="147">
        <v>0</v>
      </c>
      <c r="S65" s="147">
        <v>0</v>
      </c>
      <c r="T65" s="147">
        <v>0</v>
      </c>
      <c r="U65" s="147">
        <v>0</v>
      </c>
      <c r="V65" s="147">
        <v>0</v>
      </c>
      <c r="W65" s="147">
        <v>0</v>
      </c>
      <c r="X65" s="147">
        <v>0</v>
      </c>
      <c r="Y65" s="147">
        <v>0</v>
      </c>
      <c r="Z65" s="147">
        <v>0</v>
      </c>
      <c r="AA65" s="147">
        <v>0</v>
      </c>
      <c r="AB65" s="147">
        <v>0</v>
      </c>
      <c r="AC65" s="147">
        <v>0</v>
      </c>
      <c r="AD65" s="147">
        <v>0</v>
      </c>
      <c r="AE65" s="147">
        <v>0</v>
      </c>
      <c r="AF65" s="147">
        <v>0</v>
      </c>
      <c r="AG65" s="147">
        <v>0</v>
      </c>
    </row>
    <row r="66" spans="2:33" x14ac:dyDescent="0.4">
      <c r="B66" s="86" t="s">
        <v>116</v>
      </c>
      <c r="C66" s="147">
        <f t="shared" ref="C66:AG66" si="41">C29</f>
        <v>-3750000000</v>
      </c>
      <c r="D66" s="147">
        <f t="shared" si="41"/>
        <v>0</v>
      </c>
      <c r="E66" s="147">
        <f t="shared" si="41"/>
        <v>0</v>
      </c>
      <c r="F66" s="147">
        <f t="shared" si="41"/>
        <v>0</v>
      </c>
      <c r="G66" s="147">
        <f t="shared" si="41"/>
        <v>0</v>
      </c>
      <c r="H66" s="147">
        <f t="shared" si="41"/>
        <v>0</v>
      </c>
      <c r="I66" s="147">
        <f t="shared" si="41"/>
        <v>0</v>
      </c>
      <c r="J66" s="147">
        <f t="shared" si="41"/>
        <v>0</v>
      </c>
      <c r="K66" s="147">
        <f t="shared" si="41"/>
        <v>0</v>
      </c>
      <c r="L66" s="147">
        <f t="shared" si="41"/>
        <v>0</v>
      </c>
      <c r="M66" s="147">
        <f t="shared" si="41"/>
        <v>-198725144.46684787</v>
      </c>
      <c r="N66" s="147">
        <f t="shared" si="41"/>
        <v>0</v>
      </c>
      <c r="O66" s="147">
        <f t="shared" si="41"/>
        <v>0</v>
      </c>
      <c r="P66" s="147">
        <f t="shared" si="41"/>
        <v>0</v>
      </c>
      <c r="Q66" s="147">
        <f t="shared" si="41"/>
        <v>0</v>
      </c>
      <c r="R66" s="147">
        <f t="shared" si="41"/>
        <v>0</v>
      </c>
      <c r="S66" s="147">
        <f t="shared" si="41"/>
        <v>0</v>
      </c>
      <c r="T66" s="147">
        <f t="shared" si="41"/>
        <v>0</v>
      </c>
      <c r="U66" s="147">
        <f t="shared" si="41"/>
        <v>0</v>
      </c>
      <c r="V66" s="147">
        <f t="shared" si="41"/>
        <v>0</v>
      </c>
      <c r="W66" s="147">
        <f t="shared" si="41"/>
        <v>-323702320.02761936</v>
      </c>
      <c r="X66" s="147">
        <f t="shared" si="41"/>
        <v>0</v>
      </c>
      <c r="Y66" s="147">
        <f t="shared" si="41"/>
        <v>0</v>
      </c>
      <c r="Z66" s="147">
        <f t="shared" si="41"/>
        <v>0</v>
      </c>
      <c r="AA66" s="147">
        <f t="shared" si="41"/>
        <v>0</v>
      </c>
      <c r="AB66" s="147">
        <f t="shared" si="41"/>
        <v>0</v>
      </c>
      <c r="AC66" s="147">
        <f t="shared" si="41"/>
        <v>0</v>
      </c>
      <c r="AD66" s="147">
        <f t="shared" si="41"/>
        <v>0</v>
      </c>
      <c r="AE66" s="147">
        <f t="shared" si="41"/>
        <v>0</v>
      </c>
      <c r="AF66" s="147">
        <f t="shared" si="41"/>
        <v>0</v>
      </c>
      <c r="AG66" s="147">
        <f t="shared" si="41"/>
        <v>0</v>
      </c>
    </row>
    <row r="67" spans="2:33" x14ac:dyDescent="0.4">
      <c r="B67" s="85" t="s">
        <v>117</v>
      </c>
      <c r="C67" s="150">
        <f>SUM(C64:C66)</f>
        <v>-3750000000</v>
      </c>
      <c r="D67" s="150">
        <f>SUM(D64:D66)</f>
        <v>331513350.66666669</v>
      </c>
      <c r="E67" s="150">
        <f t="shared" ref="E67:AG67" si="42">SUM(E64:E66)</f>
        <v>951740795.87420738</v>
      </c>
      <c r="F67" s="150">
        <f t="shared" si="42"/>
        <v>862694290.32364368</v>
      </c>
      <c r="G67" s="150">
        <f t="shared" si="42"/>
        <v>969805111.37918961</v>
      </c>
      <c r="H67" s="150">
        <f t="shared" si="42"/>
        <v>936931912.47311044</v>
      </c>
      <c r="I67" s="150">
        <f t="shared" si="42"/>
        <v>917938025.40976095</v>
      </c>
      <c r="J67" s="150">
        <f>SUM(J64:J66)</f>
        <v>595884087.30480444</v>
      </c>
      <c r="K67" s="150">
        <f t="shared" si="42"/>
        <v>651741311.27962172</v>
      </c>
      <c r="L67" s="150">
        <f t="shared" si="42"/>
        <v>1292520100.6958704</v>
      </c>
      <c r="M67" s="150">
        <f t="shared" si="42"/>
        <v>1157214477.1797194</v>
      </c>
      <c r="N67" s="150">
        <f t="shared" si="42"/>
        <v>1182418875.4915202</v>
      </c>
      <c r="O67" s="150">
        <f t="shared" si="42"/>
        <v>1242659497.3419209</v>
      </c>
      <c r="P67" s="150">
        <f t="shared" si="42"/>
        <v>1327744718.2107105</v>
      </c>
      <c r="Q67" s="150">
        <f t="shared" si="42"/>
        <v>1409686383.6107497</v>
      </c>
      <c r="R67" s="150">
        <f t="shared" si="42"/>
        <v>1472353968.930872</v>
      </c>
      <c r="S67" s="150">
        <f t="shared" si="42"/>
        <v>1517920894.813767</v>
      </c>
      <c r="T67" s="150">
        <f t="shared" si="42"/>
        <v>1588326017.0859427</v>
      </c>
      <c r="U67" s="150">
        <f t="shared" si="42"/>
        <v>1642166433.596035</v>
      </c>
      <c r="V67" s="150">
        <f t="shared" si="42"/>
        <v>1680859614.2919552</v>
      </c>
      <c r="W67" s="150">
        <f t="shared" si="42"/>
        <v>1429688370.5695729</v>
      </c>
      <c r="X67" s="150">
        <f t="shared" si="42"/>
        <v>1856309405.1673412</v>
      </c>
      <c r="Y67" s="150">
        <f t="shared" si="42"/>
        <v>2077494229.2696943</v>
      </c>
      <c r="Z67" s="150">
        <f t="shared" si="42"/>
        <v>2176549296.8352432</v>
      </c>
      <c r="AA67" s="150">
        <f t="shared" si="42"/>
        <v>2225891758.0996056</v>
      </c>
      <c r="AB67" s="150">
        <f t="shared" si="42"/>
        <v>2318734566.3305779</v>
      </c>
      <c r="AC67" s="150">
        <f t="shared" si="42"/>
        <v>2389589320.7550268</v>
      </c>
      <c r="AD67" s="150">
        <f t="shared" si="42"/>
        <v>2508978438.5603819</v>
      </c>
      <c r="AE67" s="150">
        <f t="shared" si="42"/>
        <v>2633977479.7855973</v>
      </c>
      <c r="AF67" s="150">
        <f t="shared" si="42"/>
        <v>2764849712.4537754</v>
      </c>
      <c r="AG67" s="150">
        <f t="shared" si="42"/>
        <v>2901870706.5817757</v>
      </c>
    </row>
    <row r="68" spans="2:33" x14ac:dyDescent="0.4">
      <c r="B68" s="86" t="s">
        <v>118</v>
      </c>
      <c r="C68" s="147">
        <f>IF(D19="Si",D21,0)</f>
        <v>0</v>
      </c>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row>
    <row r="69" spans="2:33" x14ac:dyDescent="0.4">
      <c r="B69" s="86" t="s">
        <v>51</v>
      </c>
      <c r="D69" s="147">
        <f>IF($D$19="Si",-Amortizaciones!B35,0)</f>
        <v>0</v>
      </c>
      <c r="E69" s="147">
        <f>IF($D$19="Si",-Amortizaciones!C35,0)</f>
        <v>0</v>
      </c>
      <c r="F69" s="147">
        <f>IF($D$19="Si",-Amortizaciones!D35,0)</f>
        <v>0</v>
      </c>
      <c r="G69" s="147">
        <f>IF($D$19="Si",-Amortizaciones!E35,0)</f>
        <v>0</v>
      </c>
      <c r="H69" s="147">
        <f>IF($D$19="Si",-Amortizaciones!F35,0)</f>
        <v>0</v>
      </c>
      <c r="I69" s="147">
        <f>IF($D$19="Si",-Amortizaciones!G35,0)</f>
        <v>0</v>
      </c>
      <c r="J69" s="147">
        <f>IF($D$19="Si",-Amortizaciones!H35,0)</f>
        <v>0</v>
      </c>
      <c r="K69" s="147">
        <f>IF($D$19="Si",-Amortizaciones!I35,0)</f>
        <v>0</v>
      </c>
      <c r="L69" s="147">
        <f>IF($D$19="Si",-Amortizaciones!J35,0)</f>
        <v>0</v>
      </c>
      <c r="M69" s="147">
        <f>IF($D$19="Si",-Amortizaciones!K35,0)</f>
        <v>0</v>
      </c>
      <c r="N69" s="147">
        <f>IF($D$19="Si",-Amortizaciones!L35,0)</f>
        <v>0</v>
      </c>
      <c r="O69" s="147">
        <f>IF($D$19="Si",-Amortizaciones!M35,0)</f>
        <v>0</v>
      </c>
      <c r="P69" s="147">
        <f>IF($D$19="Si",-Amortizaciones!N35,0)</f>
        <v>0</v>
      </c>
      <c r="Q69" s="147">
        <f>IF($D$19="Si",-Amortizaciones!O35,0)</f>
        <v>0</v>
      </c>
      <c r="R69" s="147">
        <f>IF($D$19="Si",-Amortizaciones!P35,0)</f>
        <v>0</v>
      </c>
      <c r="S69" s="147">
        <f>IF($D$19="Si",-Amortizaciones!Q35,0)</f>
        <v>0</v>
      </c>
      <c r="T69" s="147">
        <f>IF($D$19="Si",-Amortizaciones!R35,0)</f>
        <v>0</v>
      </c>
      <c r="U69" s="147">
        <f>IF($D$19="Si",-Amortizaciones!S35,0)</f>
        <v>0</v>
      </c>
      <c r="V69" s="147">
        <f>IF($D$19="Si",-Amortizaciones!T35,0)</f>
        <v>0</v>
      </c>
      <c r="W69" s="147">
        <f>IF($D$19="Si",-Amortizaciones!U35,0)</f>
        <v>0</v>
      </c>
      <c r="X69" s="147">
        <f>IF($D$19="Si",-Amortizaciones!V35,0)</f>
        <v>0</v>
      </c>
      <c r="Y69" s="147">
        <f>IF($D$19="Si",-Amortizaciones!W35,0)</f>
        <v>0</v>
      </c>
      <c r="Z69" s="147">
        <f>IF($D$19="Si",-Amortizaciones!X35,0)</f>
        <v>0</v>
      </c>
      <c r="AA69" s="147">
        <f>IF($D$19="Si",-Amortizaciones!Y35,0)</f>
        <v>0</v>
      </c>
      <c r="AB69" s="147">
        <f>IF($D$19="Si",-Amortizaciones!Z35,0)</f>
        <v>0</v>
      </c>
      <c r="AC69" s="147">
        <f>IF($D$19="Si",-Amortizaciones!AA35,0)</f>
        <v>0</v>
      </c>
      <c r="AD69" s="147">
        <f>IF($D$19="Si",-Amortizaciones!AB35,0)</f>
        <v>0</v>
      </c>
      <c r="AE69" s="147">
        <f>IF($D$19="Si",-Amortizaciones!AC35,0)</f>
        <v>0</v>
      </c>
      <c r="AF69" s="147">
        <f>IF($D$19="Si",-Amortizaciones!AD35,0)</f>
        <v>0</v>
      </c>
      <c r="AG69" s="147">
        <f>IF($D$19="Si",-Amortizaciones!AE35,0)</f>
        <v>0</v>
      </c>
    </row>
    <row r="70" spans="2:33" x14ac:dyDescent="0.4">
      <c r="B70" s="86" t="s">
        <v>54</v>
      </c>
      <c r="D70" s="147">
        <f>IF($D$19="Si",-Amortizaciones!B34,0)</f>
        <v>0</v>
      </c>
      <c r="E70" s="147">
        <f>IF($D$19="Si",-Amortizaciones!C34,0)</f>
        <v>0</v>
      </c>
      <c r="F70" s="147">
        <f>IF($D$19="Si",-Amortizaciones!D34,0)</f>
        <v>0</v>
      </c>
      <c r="G70" s="147">
        <f>IF($D$19="Si",-Amortizaciones!E34,0)</f>
        <v>0</v>
      </c>
      <c r="H70" s="147">
        <f>IF($D$19="Si",-Amortizaciones!F34,0)</f>
        <v>0</v>
      </c>
      <c r="I70" s="147">
        <f>IF($D$19="Si",-Amortizaciones!G34,0)</f>
        <v>0</v>
      </c>
      <c r="J70" s="147">
        <f>IF($D$19="Si",-Amortizaciones!H34,0)</f>
        <v>0</v>
      </c>
      <c r="K70" s="147">
        <f>IF($D$19="Si",-Amortizaciones!I34,0)</f>
        <v>0</v>
      </c>
      <c r="L70" s="147">
        <f>IF($D$19="Si",-Amortizaciones!J34,0)</f>
        <v>0</v>
      </c>
      <c r="M70" s="147">
        <f>IF($D$19="Si",-Amortizaciones!K34,0)</f>
        <v>0</v>
      </c>
      <c r="N70" s="147">
        <f>IF($D$19="Si",-Amortizaciones!L34,0)</f>
        <v>0</v>
      </c>
      <c r="O70" s="147">
        <f>IF($D$19="Si",-Amortizaciones!M34,0)</f>
        <v>0</v>
      </c>
      <c r="P70" s="147">
        <f>IF($D$19="Si",-Amortizaciones!N34,0)</f>
        <v>0</v>
      </c>
      <c r="Q70" s="147">
        <f>IF($D$19="Si",-Amortizaciones!O34,0)</f>
        <v>0</v>
      </c>
      <c r="R70" s="147">
        <f>IF($D$19="Si",-Amortizaciones!P34,0)</f>
        <v>0</v>
      </c>
      <c r="S70" s="147">
        <f>IF($D$19="Si",-Amortizaciones!Q34,0)</f>
        <v>0</v>
      </c>
      <c r="T70" s="147">
        <f>IF($D$19="Si",-Amortizaciones!R34,0)</f>
        <v>0</v>
      </c>
      <c r="U70" s="147">
        <f>IF($D$19="Si",-Amortizaciones!S34,0)</f>
        <v>0</v>
      </c>
      <c r="V70" s="147">
        <f>IF($D$19="Si",-Amortizaciones!T34,0)</f>
        <v>0</v>
      </c>
      <c r="W70" s="147">
        <f>IF($D$19="Si",-Amortizaciones!U34,0)</f>
        <v>0</v>
      </c>
      <c r="X70" s="147">
        <f>IF($D$19="Si",-Amortizaciones!V34,0)</f>
        <v>0</v>
      </c>
      <c r="Y70" s="147">
        <f>IF($D$19="Si",-Amortizaciones!W34,0)</f>
        <v>0</v>
      </c>
      <c r="Z70" s="147">
        <f>IF($D$19="Si",-Amortizaciones!Y27,0)</f>
        <v>0</v>
      </c>
      <c r="AA70" s="147">
        <f>IF($D$19="Si",-Amortizaciones!Z27,0)</f>
        <v>0</v>
      </c>
      <c r="AB70" s="147">
        <f>IF($D$19="Si",-Amortizaciones!AA27,0)</f>
        <v>0</v>
      </c>
      <c r="AC70" s="147">
        <f>IF($D$19="Si",-Amortizaciones!AB27,0)</f>
        <v>0</v>
      </c>
      <c r="AD70" s="147">
        <f>IF($D$19="Si",-Amortizaciones!AC27,0)</f>
        <v>0</v>
      </c>
      <c r="AE70" s="147">
        <f>IF($D$19="Si",-Amortizaciones!AD27,0)</f>
        <v>0</v>
      </c>
      <c r="AF70" s="147">
        <f>IF($D$19="Si",-Amortizaciones!AE27,0)</f>
        <v>0</v>
      </c>
      <c r="AG70" s="147">
        <f>IF($D$19="Si",-Amortizaciones!AF27,0)</f>
        <v>0</v>
      </c>
    </row>
    <row r="71" spans="2:33" x14ac:dyDescent="0.4">
      <c r="B71" s="86" t="s">
        <v>119</v>
      </c>
      <c r="D71" s="146">
        <f t="shared" ref="D71:AG71" si="43">IF($D$19="Si",-D70*$H$10,0)</f>
        <v>0</v>
      </c>
      <c r="E71" s="146">
        <f t="shared" si="43"/>
        <v>0</v>
      </c>
      <c r="F71" s="146">
        <f t="shared" si="43"/>
        <v>0</v>
      </c>
      <c r="G71" s="146">
        <f t="shared" si="43"/>
        <v>0</v>
      </c>
      <c r="H71" s="146">
        <f t="shared" si="43"/>
        <v>0</v>
      </c>
      <c r="I71" s="146">
        <f t="shared" si="43"/>
        <v>0</v>
      </c>
      <c r="J71" s="146">
        <f t="shared" si="43"/>
        <v>0</v>
      </c>
      <c r="K71" s="146">
        <f t="shared" si="43"/>
        <v>0</v>
      </c>
      <c r="L71" s="146">
        <f t="shared" si="43"/>
        <v>0</v>
      </c>
      <c r="M71" s="146">
        <f t="shared" si="43"/>
        <v>0</v>
      </c>
      <c r="N71" s="146">
        <f t="shared" si="43"/>
        <v>0</v>
      </c>
      <c r="O71" s="146">
        <f t="shared" si="43"/>
        <v>0</v>
      </c>
      <c r="P71" s="146">
        <f t="shared" si="43"/>
        <v>0</v>
      </c>
      <c r="Q71" s="146">
        <f t="shared" si="43"/>
        <v>0</v>
      </c>
      <c r="R71" s="146">
        <f t="shared" si="43"/>
        <v>0</v>
      </c>
      <c r="S71" s="146">
        <f t="shared" si="43"/>
        <v>0</v>
      </c>
      <c r="T71" s="146">
        <f t="shared" si="43"/>
        <v>0</v>
      </c>
      <c r="U71" s="146">
        <f t="shared" si="43"/>
        <v>0</v>
      </c>
      <c r="V71" s="146">
        <f t="shared" si="43"/>
        <v>0</v>
      </c>
      <c r="W71" s="146">
        <f t="shared" si="43"/>
        <v>0</v>
      </c>
      <c r="X71" s="146">
        <f t="shared" si="43"/>
        <v>0</v>
      </c>
      <c r="Y71" s="146">
        <f t="shared" si="43"/>
        <v>0</v>
      </c>
      <c r="Z71" s="146">
        <f t="shared" si="43"/>
        <v>0</v>
      </c>
      <c r="AA71" s="146">
        <f t="shared" si="43"/>
        <v>0</v>
      </c>
      <c r="AB71" s="146">
        <f t="shared" si="43"/>
        <v>0</v>
      </c>
      <c r="AC71" s="146">
        <f t="shared" si="43"/>
        <v>0</v>
      </c>
      <c r="AD71" s="146">
        <f t="shared" si="43"/>
        <v>0</v>
      </c>
      <c r="AE71" s="146">
        <f t="shared" si="43"/>
        <v>0</v>
      </c>
      <c r="AF71" s="146">
        <f t="shared" si="43"/>
        <v>0</v>
      </c>
      <c r="AG71" s="146">
        <f t="shared" si="43"/>
        <v>0</v>
      </c>
    </row>
    <row r="72" spans="2:33" x14ac:dyDescent="0.4">
      <c r="B72" s="85" t="s">
        <v>120</v>
      </c>
      <c r="C72" s="149">
        <f>SUM(C67:C71)</f>
        <v>-3750000000</v>
      </c>
      <c r="D72" s="149">
        <f>SUM(D67:D71)</f>
        <v>331513350.66666669</v>
      </c>
      <c r="E72" s="149">
        <f t="shared" ref="E72:AG72" si="44">SUM(E67:E71)</f>
        <v>951740795.87420738</v>
      </c>
      <c r="F72" s="149">
        <f t="shared" si="44"/>
        <v>862694290.32364368</v>
      </c>
      <c r="G72" s="149">
        <f t="shared" si="44"/>
        <v>969805111.37918961</v>
      </c>
      <c r="H72" s="149">
        <f t="shared" si="44"/>
        <v>936931912.47311044</v>
      </c>
      <c r="I72" s="149">
        <f t="shared" si="44"/>
        <v>917938025.40976095</v>
      </c>
      <c r="J72" s="149">
        <f t="shared" si="44"/>
        <v>595884087.30480444</v>
      </c>
      <c r="K72" s="149">
        <f t="shared" si="44"/>
        <v>651741311.27962172</v>
      </c>
      <c r="L72" s="149">
        <f t="shared" si="44"/>
        <v>1292520100.6958704</v>
      </c>
      <c r="M72" s="149">
        <f t="shared" si="44"/>
        <v>1157214477.1797194</v>
      </c>
      <c r="N72" s="149">
        <f t="shared" si="44"/>
        <v>1182418875.4915202</v>
      </c>
      <c r="O72" s="149">
        <f t="shared" si="44"/>
        <v>1242659497.3419209</v>
      </c>
      <c r="P72" s="149">
        <f t="shared" si="44"/>
        <v>1327744718.2107105</v>
      </c>
      <c r="Q72" s="149">
        <f t="shared" si="44"/>
        <v>1409686383.6107497</v>
      </c>
      <c r="R72" s="149">
        <f t="shared" si="44"/>
        <v>1472353968.930872</v>
      </c>
      <c r="S72" s="149">
        <f t="shared" si="44"/>
        <v>1517920894.813767</v>
      </c>
      <c r="T72" s="149">
        <f t="shared" si="44"/>
        <v>1588326017.0859427</v>
      </c>
      <c r="U72" s="149">
        <f t="shared" si="44"/>
        <v>1642166433.596035</v>
      </c>
      <c r="V72" s="149">
        <f t="shared" si="44"/>
        <v>1680859614.2919552</v>
      </c>
      <c r="W72" s="149">
        <f t="shared" si="44"/>
        <v>1429688370.5695729</v>
      </c>
      <c r="X72" s="149">
        <f t="shared" si="44"/>
        <v>1856309405.1673412</v>
      </c>
      <c r="Y72" s="149">
        <f t="shared" si="44"/>
        <v>2077494229.2696943</v>
      </c>
      <c r="Z72" s="149">
        <f t="shared" si="44"/>
        <v>2176549296.8352432</v>
      </c>
      <c r="AA72" s="149">
        <f t="shared" si="44"/>
        <v>2225891758.0996056</v>
      </c>
      <c r="AB72" s="149">
        <f t="shared" si="44"/>
        <v>2318734566.3305779</v>
      </c>
      <c r="AC72" s="149">
        <f t="shared" si="44"/>
        <v>2389589320.7550268</v>
      </c>
      <c r="AD72" s="149">
        <f t="shared" si="44"/>
        <v>2508978438.5603819</v>
      </c>
      <c r="AE72" s="149">
        <f t="shared" si="44"/>
        <v>2633977479.7855973</v>
      </c>
      <c r="AF72" s="149">
        <f t="shared" si="44"/>
        <v>2764849712.4537754</v>
      </c>
      <c r="AG72" s="149">
        <f t="shared" si="44"/>
        <v>2901870706.5817757</v>
      </c>
    </row>
    <row r="73" spans="2:33" x14ac:dyDescent="0.4">
      <c r="B73" s="86" t="s">
        <v>121</v>
      </c>
      <c r="D73" s="147">
        <f>-D72</f>
        <v>-331513350.66666669</v>
      </c>
      <c r="E73" s="147">
        <f t="shared" ref="E73:AG73" si="45">-E72</f>
        <v>-951740795.87420738</v>
      </c>
      <c r="F73" s="147">
        <f t="shared" si="45"/>
        <v>-862694290.32364368</v>
      </c>
      <c r="G73" s="147">
        <f t="shared" si="45"/>
        <v>-969805111.37918961</v>
      </c>
      <c r="H73" s="147">
        <f t="shared" si="45"/>
        <v>-936931912.47311044</v>
      </c>
      <c r="I73" s="147">
        <f t="shared" si="45"/>
        <v>-917938025.40976095</v>
      </c>
      <c r="J73" s="147">
        <f t="shared" si="45"/>
        <v>-595884087.30480444</v>
      </c>
      <c r="K73" s="147">
        <f t="shared" si="45"/>
        <v>-651741311.27962172</v>
      </c>
      <c r="L73" s="147">
        <f t="shared" si="45"/>
        <v>-1292520100.6958704</v>
      </c>
      <c r="M73" s="147">
        <f t="shared" si="45"/>
        <v>-1157214477.1797194</v>
      </c>
      <c r="N73" s="147">
        <f t="shared" si="45"/>
        <v>-1182418875.4915202</v>
      </c>
      <c r="O73" s="147">
        <f t="shared" si="45"/>
        <v>-1242659497.3419209</v>
      </c>
      <c r="P73" s="147">
        <f t="shared" si="45"/>
        <v>-1327744718.2107105</v>
      </c>
      <c r="Q73" s="147">
        <f t="shared" si="45"/>
        <v>-1409686383.6107497</v>
      </c>
      <c r="R73" s="147">
        <f t="shared" si="45"/>
        <v>-1472353968.930872</v>
      </c>
      <c r="S73" s="147">
        <f t="shared" si="45"/>
        <v>-1517920894.813767</v>
      </c>
      <c r="T73" s="147">
        <f t="shared" si="45"/>
        <v>-1588326017.0859427</v>
      </c>
      <c r="U73" s="147">
        <f t="shared" si="45"/>
        <v>-1642166433.596035</v>
      </c>
      <c r="V73" s="147">
        <f t="shared" si="45"/>
        <v>-1680859614.2919552</v>
      </c>
      <c r="W73" s="147">
        <f t="shared" si="45"/>
        <v>-1429688370.5695729</v>
      </c>
      <c r="X73" s="147">
        <f t="shared" si="45"/>
        <v>-1856309405.1673412</v>
      </c>
      <c r="Y73" s="147">
        <f t="shared" si="45"/>
        <v>-2077494229.2696943</v>
      </c>
      <c r="Z73" s="147">
        <f t="shared" si="45"/>
        <v>-2176549296.8352432</v>
      </c>
      <c r="AA73" s="147">
        <f t="shared" si="45"/>
        <v>-2225891758.0996056</v>
      </c>
      <c r="AB73" s="147">
        <f t="shared" si="45"/>
        <v>-2318734566.3305779</v>
      </c>
      <c r="AC73" s="147">
        <f t="shared" si="45"/>
        <v>-2389589320.7550268</v>
      </c>
      <c r="AD73" s="147">
        <f t="shared" si="45"/>
        <v>-2508978438.5603819</v>
      </c>
      <c r="AE73" s="147">
        <f t="shared" si="45"/>
        <v>-2633977479.7855973</v>
      </c>
      <c r="AF73" s="147">
        <f t="shared" si="45"/>
        <v>-2764849712.4537754</v>
      </c>
      <c r="AG73" s="147">
        <f t="shared" si="45"/>
        <v>-2901870706.5817757</v>
      </c>
    </row>
    <row r="74" spans="2:33" x14ac:dyDescent="0.4">
      <c r="B74" s="86" t="s">
        <v>122</v>
      </c>
      <c r="C74" s="147">
        <f>-C72</f>
        <v>3750000000</v>
      </c>
    </row>
    <row r="75" spans="2:33" x14ac:dyDescent="0.4">
      <c r="B75" s="86" t="s">
        <v>123</v>
      </c>
      <c r="D75" s="147">
        <f>SUM(D72:D74)</f>
        <v>0</v>
      </c>
      <c r="E75" s="147">
        <f t="shared" ref="E75:AG75" si="46">SUM(E72:E74)</f>
        <v>0</v>
      </c>
      <c r="F75" s="147">
        <f t="shared" si="46"/>
        <v>0</v>
      </c>
      <c r="G75" s="147">
        <f t="shared" si="46"/>
        <v>0</v>
      </c>
      <c r="H75" s="147">
        <f t="shared" si="46"/>
        <v>0</v>
      </c>
      <c r="I75" s="147">
        <f t="shared" si="46"/>
        <v>0</v>
      </c>
      <c r="J75" s="147">
        <f t="shared" si="46"/>
        <v>0</v>
      </c>
      <c r="K75" s="147">
        <f t="shared" si="46"/>
        <v>0</v>
      </c>
      <c r="L75" s="147">
        <f t="shared" si="46"/>
        <v>0</v>
      </c>
      <c r="M75" s="147">
        <f t="shared" si="46"/>
        <v>0</v>
      </c>
      <c r="N75" s="147">
        <f t="shared" si="46"/>
        <v>0</v>
      </c>
      <c r="O75" s="147">
        <f t="shared" si="46"/>
        <v>0</v>
      </c>
      <c r="P75" s="147">
        <f t="shared" si="46"/>
        <v>0</v>
      </c>
      <c r="Q75" s="147">
        <f t="shared" si="46"/>
        <v>0</v>
      </c>
      <c r="R75" s="147">
        <f t="shared" si="46"/>
        <v>0</v>
      </c>
      <c r="S75" s="147">
        <f t="shared" si="46"/>
        <v>0</v>
      </c>
      <c r="T75" s="147">
        <f t="shared" si="46"/>
        <v>0</v>
      </c>
      <c r="U75" s="147">
        <f t="shared" si="46"/>
        <v>0</v>
      </c>
      <c r="V75" s="147">
        <f t="shared" si="46"/>
        <v>0</v>
      </c>
      <c r="W75" s="147">
        <f t="shared" si="46"/>
        <v>0</v>
      </c>
      <c r="X75" s="147">
        <f t="shared" si="46"/>
        <v>0</v>
      </c>
      <c r="Y75" s="147">
        <f t="shared" si="46"/>
        <v>0</v>
      </c>
      <c r="Z75" s="147">
        <f t="shared" si="46"/>
        <v>0</v>
      </c>
      <c r="AA75" s="147">
        <f t="shared" si="46"/>
        <v>0</v>
      </c>
      <c r="AB75" s="147">
        <f t="shared" si="46"/>
        <v>0</v>
      </c>
      <c r="AC75" s="147">
        <f t="shared" si="46"/>
        <v>0</v>
      </c>
      <c r="AD75" s="147">
        <f t="shared" si="46"/>
        <v>0</v>
      </c>
      <c r="AE75" s="147">
        <f t="shared" si="46"/>
        <v>0</v>
      </c>
      <c r="AF75" s="147">
        <f t="shared" si="46"/>
        <v>0</v>
      </c>
      <c r="AG75" s="147">
        <f t="shared" si="46"/>
        <v>0</v>
      </c>
    </row>
    <row r="76" spans="2:33" x14ac:dyDescent="0.4">
      <c r="B76" s="86" t="s">
        <v>124</v>
      </c>
      <c r="D76" s="86">
        <f>C77</f>
        <v>0</v>
      </c>
      <c r="E76" s="86">
        <f t="shared" ref="E76:AG76" si="47">D77</f>
        <v>0</v>
      </c>
      <c r="F76" s="86">
        <f t="shared" si="47"/>
        <v>0</v>
      </c>
      <c r="G76" s="86">
        <f t="shared" si="47"/>
        <v>0</v>
      </c>
      <c r="H76" s="86">
        <f t="shared" si="47"/>
        <v>0</v>
      </c>
      <c r="I76" s="86">
        <f t="shared" si="47"/>
        <v>0</v>
      </c>
      <c r="J76" s="86">
        <f>I77</f>
        <v>0</v>
      </c>
      <c r="K76" s="86">
        <f t="shared" si="47"/>
        <v>0</v>
      </c>
      <c r="L76" s="86">
        <f t="shared" si="47"/>
        <v>0</v>
      </c>
      <c r="M76" s="86">
        <f t="shared" si="47"/>
        <v>0</v>
      </c>
      <c r="N76" s="86">
        <f>M77</f>
        <v>0</v>
      </c>
      <c r="O76" s="86">
        <f t="shared" si="47"/>
        <v>0</v>
      </c>
      <c r="P76" s="86">
        <f>O77</f>
        <v>0</v>
      </c>
      <c r="Q76" s="86">
        <f t="shared" si="47"/>
        <v>0</v>
      </c>
      <c r="R76" s="86">
        <f t="shared" si="47"/>
        <v>0</v>
      </c>
      <c r="S76" s="86">
        <f t="shared" si="47"/>
        <v>0</v>
      </c>
      <c r="T76" s="86">
        <f>S77</f>
        <v>0</v>
      </c>
      <c r="U76" s="86">
        <f t="shared" si="47"/>
        <v>0</v>
      </c>
      <c r="V76" s="86">
        <f t="shared" si="47"/>
        <v>0</v>
      </c>
      <c r="W76" s="86">
        <f t="shared" si="47"/>
        <v>0</v>
      </c>
      <c r="X76" s="86">
        <f t="shared" si="47"/>
        <v>0</v>
      </c>
      <c r="Y76" s="86">
        <f>X77</f>
        <v>0</v>
      </c>
      <c r="Z76" s="86">
        <f t="shared" si="47"/>
        <v>0</v>
      </c>
      <c r="AA76" s="86">
        <f t="shared" si="47"/>
        <v>0</v>
      </c>
      <c r="AB76" s="86">
        <f t="shared" si="47"/>
        <v>0</v>
      </c>
      <c r="AC76" s="86">
        <f t="shared" si="47"/>
        <v>0</v>
      </c>
      <c r="AD76" s="86">
        <f t="shared" si="47"/>
        <v>0</v>
      </c>
      <c r="AE76" s="86">
        <f t="shared" si="47"/>
        <v>0</v>
      </c>
      <c r="AF76" s="86">
        <f t="shared" si="47"/>
        <v>0</v>
      </c>
      <c r="AG76" s="86">
        <f t="shared" si="47"/>
        <v>0</v>
      </c>
    </row>
    <row r="77" spans="2:33" x14ac:dyDescent="0.4">
      <c r="B77" s="86" t="s">
        <v>125</v>
      </c>
      <c r="D77" s="147">
        <f>D75+D76</f>
        <v>0</v>
      </c>
      <c r="E77" s="147">
        <f t="shared" ref="E77:AG77" si="48">E75+E76</f>
        <v>0</v>
      </c>
      <c r="F77" s="147">
        <f t="shared" si="48"/>
        <v>0</v>
      </c>
      <c r="G77" s="147">
        <f t="shared" si="48"/>
        <v>0</v>
      </c>
      <c r="H77" s="147">
        <f t="shared" si="48"/>
        <v>0</v>
      </c>
      <c r="I77" s="147">
        <f t="shared" si="48"/>
        <v>0</v>
      </c>
      <c r="J77" s="147">
        <f t="shared" si="48"/>
        <v>0</v>
      </c>
      <c r="K77" s="147">
        <f t="shared" si="48"/>
        <v>0</v>
      </c>
      <c r="L77" s="147">
        <f t="shared" si="48"/>
        <v>0</v>
      </c>
      <c r="M77" s="147">
        <f t="shared" si="48"/>
        <v>0</v>
      </c>
      <c r="N77" s="147">
        <f t="shared" si="48"/>
        <v>0</v>
      </c>
      <c r="O77" s="147">
        <f t="shared" si="48"/>
        <v>0</v>
      </c>
      <c r="P77" s="147">
        <f t="shared" si="48"/>
        <v>0</v>
      </c>
      <c r="Q77" s="147">
        <f t="shared" si="48"/>
        <v>0</v>
      </c>
      <c r="R77" s="147">
        <f t="shared" si="48"/>
        <v>0</v>
      </c>
      <c r="S77" s="147">
        <f t="shared" si="48"/>
        <v>0</v>
      </c>
      <c r="T77" s="147">
        <f t="shared" si="48"/>
        <v>0</v>
      </c>
      <c r="U77" s="147">
        <f t="shared" si="48"/>
        <v>0</v>
      </c>
      <c r="V77" s="147">
        <f t="shared" si="48"/>
        <v>0</v>
      </c>
      <c r="W77" s="147">
        <f t="shared" si="48"/>
        <v>0</v>
      </c>
      <c r="X77" s="147">
        <f t="shared" si="48"/>
        <v>0</v>
      </c>
      <c r="Y77" s="147">
        <f t="shared" si="48"/>
        <v>0</v>
      </c>
      <c r="Z77" s="147">
        <f t="shared" si="48"/>
        <v>0</v>
      </c>
      <c r="AA77" s="147">
        <f t="shared" si="48"/>
        <v>0</v>
      </c>
      <c r="AB77" s="147">
        <f t="shared" si="48"/>
        <v>0</v>
      </c>
      <c r="AC77" s="147">
        <f t="shared" si="48"/>
        <v>0</v>
      </c>
      <c r="AD77" s="147">
        <f t="shared" si="48"/>
        <v>0</v>
      </c>
      <c r="AE77" s="147">
        <f t="shared" si="48"/>
        <v>0</v>
      </c>
      <c r="AF77" s="147">
        <f t="shared" si="48"/>
        <v>0</v>
      </c>
      <c r="AG77" s="147">
        <f t="shared" si="48"/>
        <v>0</v>
      </c>
    </row>
    <row r="79" spans="2:33" ht="16.3" thickBot="1" x14ac:dyDescent="0.5">
      <c r="B79" s="142" t="s">
        <v>80</v>
      </c>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row>
    <row r="80" spans="2:33" ht="15.9" x14ac:dyDescent="0.45">
      <c r="B80" s="101" t="s">
        <v>85</v>
      </c>
      <c r="C80" s="100">
        <v>0</v>
      </c>
      <c r="D80" s="100">
        <v>1</v>
      </c>
      <c r="E80" s="100">
        <v>2</v>
      </c>
      <c r="F80" s="100">
        <v>3</v>
      </c>
      <c r="G80" s="100">
        <v>4</v>
      </c>
      <c r="H80" s="100">
        <v>5</v>
      </c>
      <c r="I80" s="100">
        <v>6</v>
      </c>
      <c r="J80" s="100">
        <v>7</v>
      </c>
      <c r="K80" s="100">
        <v>8</v>
      </c>
      <c r="L80" s="100">
        <v>9</v>
      </c>
      <c r="M80" s="100">
        <v>10</v>
      </c>
      <c r="N80" s="100">
        <v>11</v>
      </c>
      <c r="O80" s="100">
        <v>12</v>
      </c>
      <c r="P80" s="100">
        <v>13</v>
      </c>
      <c r="Q80" s="100">
        <v>14</v>
      </c>
      <c r="R80" s="100">
        <v>15</v>
      </c>
      <c r="S80" s="100">
        <v>16</v>
      </c>
      <c r="T80" s="100">
        <v>17</v>
      </c>
      <c r="U80" s="100">
        <v>18</v>
      </c>
      <c r="V80" s="100">
        <v>19</v>
      </c>
      <c r="W80" s="100">
        <v>20</v>
      </c>
      <c r="X80" s="100">
        <v>21</v>
      </c>
      <c r="Y80" s="100">
        <v>22</v>
      </c>
      <c r="Z80" s="100">
        <v>23</v>
      </c>
      <c r="AA80" s="100">
        <v>24</v>
      </c>
      <c r="AB80" s="100">
        <v>25</v>
      </c>
      <c r="AC80" s="100">
        <v>26</v>
      </c>
      <c r="AD80" s="100">
        <v>27</v>
      </c>
      <c r="AE80" s="100">
        <v>28</v>
      </c>
      <c r="AF80" s="100">
        <v>29</v>
      </c>
      <c r="AG80" s="100">
        <v>30</v>
      </c>
    </row>
    <row r="81" spans="2:33" x14ac:dyDescent="0.4">
      <c r="B81" s="86" t="s">
        <v>126</v>
      </c>
      <c r="C81" s="113">
        <f>C29</f>
        <v>-3750000000</v>
      </c>
      <c r="D81" s="113">
        <f t="shared" ref="D81:AG81" si="49">D29</f>
        <v>0</v>
      </c>
      <c r="E81" s="113">
        <f t="shared" si="49"/>
        <v>0</v>
      </c>
      <c r="F81" s="113">
        <f t="shared" si="49"/>
        <v>0</v>
      </c>
      <c r="G81" s="113">
        <f t="shared" si="49"/>
        <v>0</v>
      </c>
      <c r="H81" s="113">
        <f t="shared" si="49"/>
        <v>0</v>
      </c>
      <c r="I81" s="113">
        <f t="shared" si="49"/>
        <v>0</v>
      </c>
      <c r="J81" s="113">
        <f t="shared" si="49"/>
        <v>0</v>
      </c>
      <c r="K81" s="113">
        <f t="shared" si="49"/>
        <v>0</v>
      </c>
      <c r="L81" s="113">
        <f t="shared" si="49"/>
        <v>0</v>
      </c>
      <c r="M81" s="113">
        <f t="shared" si="49"/>
        <v>-198725144.46684787</v>
      </c>
      <c r="N81" s="113">
        <f t="shared" si="49"/>
        <v>0</v>
      </c>
      <c r="O81" s="113">
        <f t="shared" si="49"/>
        <v>0</v>
      </c>
      <c r="P81" s="113">
        <f t="shared" si="49"/>
        <v>0</v>
      </c>
      <c r="Q81" s="113">
        <f t="shared" si="49"/>
        <v>0</v>
      </c>
      <c r="R81" s="113">
        <f t="shared" si="49"/>
        <v>0</v>
      </c>
      <c r="S81" s="113">
        <f t="shared" si="49"/>
        <v>0</v>
      </c>
      <c r="T81" s="113">
        <f t="shared" si="49"/>
        <v>0</v>
      </c>
      <c r="U81" s="113">
        <f t="shared" si="49"/>
        <v>0</v>
      </c>
      <c r="V81" s="113">
        <f t="shared" si="49"/>
        <v>0</v>
      </c>
      <c r="W81" s="113">
        <f t="shared" si="49"/>
        <v>-323702320.02761936</v>
      </c>
      <c r="X81" s="113">
        <f t="shared" si="49"/>
        <v>0</v>
      </c>
      <c r="Y81" s="113">
        <f t="shared" si="49"/>
        <v>0</v>
      </c>
      <c r="Z81" s="113">
        <f t="shared" si="49"/>
        <v>0</v>
      </c>
      <c r="AA81" s="113">
        <f t="shared" si="49"/>
        <v>0</v>
      </c>
      <c r="AB81" s="113">
        <f t="shared" si="49"/>
        <v>0</v>
      </c>
      <c r="AC81" s="113">
        <f t="shared" si="49"/>
        <v>0</v>
      </c>
      <c r="AD81" s="113">
        <f t="shared" si="49"/>
        <v>0</v>
      </c>
      <c r="AE81" s="113">
        <f t="shared" si="49"/>
        <v>0</v>
      </c>
      <c r="AF81" s="113">
        <f t="shared" si="49"/>
        <v>0</v>
      </c>
      <c r="AG81" s="113">
        <f t="shared" si="49"/>
        <v>0</v>
      </c>
    </row>
    <row r="82" spans="2:33" x14ac:dyDescent="0.4">
      <c r="B82" s="86" t="s">
        <v>127</v>
      </c>
      <c r="C82" s="113"/>
      <c r="D82" s="113">
        <f>D42+D45+D46+D48</f>
        <v>-87162960</v>
      </c>
      <c r="E82" s="113">
        <f t="shared" ref="E82:AG82" si="50">E42+E45+E46+E48</f>
        <v>-252587305.47862071</v>
      </c>
      <c r="F82" s="113">
        <f t="shared" si="50"/>
        <v>-255916984.14510348</v>
      </c>
      <c r="G82" s="113">
        <f t="shared" si="50"/>
        <v>-273172746.65558624</v>
      </c>
      <c r="H82" s="113">
        <f t="shared" si="50"/>
        <v>-281147707.0705173</v>
      </c>
      <c r="I82" s="113">
        <f t="shared" si="50"/>
        <v>-290604509.94128448</v>
      </c>
      <c r="J82" s="113">
        <f t="shared" si="50"/>
        <v>-279449404.7100302</v>
      </c>
      <c r="K82" s="113">
        <f t="shared" si="50"/>
        <v>-296514797.65280926</v>
      </c>
      <c r="L82" s="113">
        <f t="shared" si="50"/>
        <v>-355169649.90353477</v>
      </c>
      <c r="M82" s="113">
        <f t="shared" si="50"/>
        <v>-376680178.39028674</v>
      </c>
      <c r="N82" s="113">
        <f t="shared" si="50"/>
        <v>-397007902.55128431</v>
      </c>
      <c r="O82" s="113">
        <f t="shared" si="50"/>
        <v>-416953068.85052884</v>
      </c>
      <c r="P82" s="113">
        <f t="shared" si="50"/>
        <v>-439887664.72416121</v>
      </c>
      <c r="Q82" s="113">
        <f t="shared" si="50"/>
        <v>-463293441.79352689</v>
      </c>
      <c r="R82" s="113">
        <f t="shared" si="50"/>
        <v>-485736137.46315879</v>
      </c>
      <c r="S82" s="113">
        <f t="shared" si="50"/>
        <v>-507453885.86096126</v>
      </c>
      <c r="T82" s="113">
        <f t="shared" si="50"/>
        <v>-532315988.19508451</v>
      </c>
      <c r="U82" s="113">
        <f t="shared" si="50"/>
        <v>-556587675.04059005</v>
      </c>
      <c r="V82" s="113">
        <f t="shared" si="50"/>
        <v>-580444355.50293207</v>
      </c>
      <c r="W82" s="113">
        <f t="shared" si="50"/>
        <v>-608404986.52359414</v>
      </c>
      <c r="X82" s="113">
        <f t="shared" si="50"/>
        <v>-640205442.73919225</v>
      </c>
      <c r="Y82" s="113">
        <f t="shared" si="50"/>
        <v>-678624486.93285894</v>
      </c>
      <c r="Z82" s="113">
        <f t="shared" si="50"/>
        <v>-712115848.08151555</v>
      </c>
      <c r="AA82" s="113">
        <f t="shared" si="50"/>
        <v>-742292761.41073072</v>
      </c>
      <c r="AB82" s="113">
        <f t="shared" si="50"/>
        <v>-777723403.94387412</v>
      </c>
      <c r="AC82" s="113">
        <f t="shared" si="50"/>
        <v>-812495182.78194714</v>
      </c>
      <c r="AD82" s="113">
        <f t="shared" si="50"/>
        <v>-853111696.31965232</v>
      </c>
      <c r="AE82" s="113">
        <f t="shared" si="50"/>
        <v>-895726222.92286289</v>
      </c>
      <c r="AF82" s="113">
        <f t="shared" si="50"/>
        <v>-940437090.92366433</v>
      </c>
      <c r="AG82" s="113">
        <f t="shared" si="50"/>
        <v>-987347466.45468676</v>
      </c>
    </row>
    <row r="83" spans="2:33" x14ac:dyDescent="0.4">
      <c r="B83" s="86" t="s">
        <v>128</v>
      </c>
      <c r="C83" s="113"/>
      <c r="D83" s="113">
        <f t="shared" ref="D83:AG83" si="51">-D50*$H$10+D33*$H$10</f>
        <v>78003141.333333343</v>
      </c>
      <c r="E83" s="113">
        <f t="shared" si="51"/>
        <v>223939010.79393113</v>
      </c>
      <c r="F83" s="113">
        <f t="shared" si="51"/>
        <v>202986891.8408573</v>
      </c>
      <c r="G83" s="113">
        <f t="shared" si="51"/>
        <v>228189437.97157398</v>
      </c>
      <c r="H83" s="113">
        <f t="shared" si="51"/>
        <v>220454567.64073187</v>
      </c>
      <c r="I83" s="113">
        <f t="shared" si="51"/>
        <v>215985417.74347314</v>
      </c>
      <c r="J83" s="113">
        <f t="shared" si="51"/>
        <v>140208020.5423069</v>
      </c>
      <c r="K83" s="113">
        <f t="shared" si="51"/>
        <v>139324995.0514136</v>
      </c>
      <c r="L83" s="113">
        <f t="shared" si="51"/>
        <v>274170930.45063919</v>
      </c>
      <c r="M83" s="113">
        <f t="shared" si="51"/>
        <v>245487586.63173926</v>
      </c>
      <c r="N83" s="113">
        <f t="shared" si="51"/>
        <v>0</v>
      </c>
      <c r="O83" s="113">
        <f t="shared" si="51"/>
        <v>0</v>
      </c>
      <c r="P83" s="113">
        <f t="shared" si="51"/>
        <v>0</v>
      </c>
      <c r="Q83" s="113">
        <f t="shared" si="51"/>
        <v>0</v>
      </c>
      <c r="R83" s="113">
        <f t="shared" si="51"/>
        <v>0</v>
      </c>
      <c r="S83" s="113">
        <f t="shared" si="51"/>
        <v>0</v>
      </c>
      <c r="T83" s="113">
        <f t="shared" si="51"/>
        <v>0</v>
      </c>
      <c r="U83" s="113">
        <f t="shared" si="51"/>
        <v>0</v>
      </c>
      <c r="V83" s="113">
        <f t="shared" si="51"/>
        <v>0</v>
      </c>
      <c r="W83" s="113">
        <f t="shared" si="51"/>
        <v>0</v>
      </c>
      <c r="X83" s="113">
        <f t="shared" si="51"/>
        <v>0</v>
      </c>
      <c r="Y83" s="113">
        <f t="shared" si="51"/>
        <v>0</v>
      </c>
      <c r="Z83" s="113">
        <f t="shared" si="51"/>
        <v>0</v>
      </c>
      <c r="AA83" s="113">
        <f t="shared" si="51"/>
        <v>0</v>
      </c>
      <c r="AB83" s="113">
        <f t="shared" si="51"/>
        <v>0</v>
      </c>
      <c r="AC83" s="113">
        <f t="shared" si="51"/>
        <v>0</v>
      </c>
      <c r="AD83" s="113">
        <f t="shared" si="51"/>
        <v>0</v>
      </c>
      <c r="AE83" s="113">
        <f t="shared" si="51"/>
        <v>0</v>
      </c>
      <c r="AF83" s="113">
        <f t="shared" si="51"/>
        <v>0</v>
      </c>
      <c r="AG83" s="113">
        <f t="shared" si="51"/>
        <v>0</v>
      </c>
    </row>
    <row r="84" spans="2:33" x14ac:dyDescent="0.4">
      <c r="B84" s="86" t="s">
        <v>129</v>
      </c>
      <c r="C84" s="113"/>
      <c r="D84" s="113">
        <f>D47</f>
        <v>16000000</v>
      </c>
      <c r="E84" s="113">
        <f t="shared" ref="E84:AG84" si="52">E47</f>
        <v>17120000</v>
      </c>
      <c r="F84" s="113">
        <f t="shared" si="52"/>
        <v>17976000</v>
      </c>
      <c r="G84" s="113">
        <f t="shared" si="52"/>
        <v>18874800</v>
      </c>
      <c r="H84" s="113">
        <f t="shared" si="52"/>
        <v>19818540</v>
      </c>
      <c r="I84" s="113">
        <f t="shared" si="52"/>
        <v>20809467</v>
      </c>
      <c r="J84" s="113">
        <f t="shared" si="52"/>
        <v>21849940.350000001</v>
      </c>
      <c r="K84" s="113">
        <f t="shared" si="52"/>
        <v>22942437.367500003</v>
      </c>
      <c r="L84" s="113">
        <f t="shared" si="52"/>
        <v>24089559.235875003</v>
      </c>
      <c r="M84" s="113">
        <f t="shared" si="52"/>
        <v>25294037.197668754</v>
      </c>
      <c r="N84" s="113">
        <f t="shared" si="52"/>
        <v>26558739.057552192</v>
      </c>
      <c r="O84" s="113">
        <f t="shared" si="52"/>
        <v>27886676.010429803</v>
      </c>
      <c r="P84" s="113">
        <f t="shared" si="52"/>
        <v>29281009.810951296</v>
      </c>
      <c r="Q84" s="113">
        <f t="shared" si="52"/>
        <v>30745060.301498864</v>
      </c>
      <c r="R84" s="113">
        <f t="shared" si="52"/>
        <v>32282313.31657381</v>
      </c>
      <c r="S84" s="113">
        <f t="shared" si="52"/>
        <v>33896428.982402503</v>
      </c>
      <c r="T84" s="113">
        <f t="shared" si="52"/>
        <v>35591250.43152263</v>
      </c>
      <c r="U84" s="113">
        <f t="shared" si="52"/>
        <v>37370812.953098767</v>
      </c>
      <c r="V84" s="113">
        <f t="shared" si="52"/>
        <v>39239353.60075371</v>
      </c>
      <c r="W84" s="113">
        <f t="shared" si="52"/>
        <v>41201321.280791394</v>
      </c>
      <c r="X84" s="113">
        <f t="shared" si="52"/>
        <v>43261387.344830967</v>
      </c>
      <c r="Y84" s="113">
        <f t="shared" si="52"/>
        <v>45424456.712072521</v>
      </c>
      <c r="Z84" s="113">
        <f t="shared" si="52"/>
        <v>47695679.547676146</v>
      </c>
      <c r="AA84" s="113">
        <f t="shared" si="52"/>
        <v>50080463.525059953</v>
      </c>
      <c r="AB84" s="113">
        <f t="shared" si="52"/>
        <v>52584486.701312952</v>
      </c>
      <c r="AC84" s="113">
        <f t="shared" si="52"/>
        <v>55213711.0363786</v>
      </c>
      <c r="AD84" s="113">
        <f t="shared" si="52"/>
        <v>57974396.588197529</v>
      </c>
      <c r="AE84" s="113">
        <f t="shared" si="52"/>
        <v>60873116.417607412</v>
      </c>
      <c r="AF84" s="113">
        <f t="shared" si="52"/>
        <v>63916772.238487788</v>
      </c>
      <c r="AG84" s="113">
        <f t="shared" si="52"/>
        <v>67112610.850412175</v>
      </c>
    </row>
    <row r="85" spans="2:33" ht="15" customHeight="1" x14ac:dyDescent="0.4">
      <c r="B85" s="86" t="s">
        <v>130</v>
      </c>
      <c r="C85" s="113">
        <f>SUM(C81:C84)</f>
        <v>-3750000000</v>
      </c>
      <c r="D85" s="113">
        <f>SUM(D81:D84)</f>
        <v>6840181.3333333433</v>
      </c>
      <c r="E85" s="113">
        <f>SUM(E81:E84)</f>
        <v>-11528294.684689581</v>
      </c>
      <c r="F85" s="113">
        <f t="shared" ref="F85:AG85" si="53">SUM(F81:F84)</f>
        <v>-34954092.304246187</v>
      </c>
      <c r="G85" s="113">
        <f>SUM(G81:G84)</f>
        <v>-26108508.684012264</v>
      </c>
      <c r="H85" s="113">
        <f t="shared" si="53"/>
        <v>-40874599.42978543</v>
      </c>
      <c r="I85" s="113">
        <f t="shared" si="53"/>
        <v>-53809625.197811335</v>
      </c>
      <c r="J85" s="113">
        <f t="shared" si="53"/>
        <v>-117391443.8177233</v>
      </c>
      <c r="K85" s="113">
        <f t="shared" si="53"/>
        <v>-134247365.23389566</v>
      </c>
      <c r="L85" s="113">
        <f>SUM(L81:L84)</f>
        <v>-56909160.217020579</v>
      </c>
      <c r="M85" s="113">
        <f t="shared" si="53"/>
        <v>-304623699.02772659</v>
      </c>
      <c r="N85" s="113">
        <f>SUM(N81:N84)</f>
        <v>-370449163.49373209</v>
      </c>
      <c r="O85" s="113">
        <f t="shared" si="53"/>
        <v>-389066392.84009904</v>
      </c>
      <c r="P85" s="113">
        <f>SUM(P81:P84)</f>
        <v>-410606654.91320992</v>
      </c>
      <c r="Q85" s="113">
        <f t="shared" si="53"/>
        <v>-432548381.492028</v>
      </c>
      <c r="R85" s="113">
        <f t="shared" si="53"/>
        <v>-453453824.14658499</v>
      </c>
      <c r="S85" s="113">
        <f t="shared" si="53"/>
        <v>-473557456.87855875</v>
      </c>
      <c r="T85" s="113">
        <f t="shared" si="53"/>
        <v>-496724737.7635619</v>
      </c>
      <c r="U85" s="113">
        <f t="shared" si="53"/>
        <v>-519216862.08749127</v>
      </c>
      <c r="V85" s="113">
        <f t="shared" si="53"/>
        <v>-541205001.90217841</v>
      </c>
      <c r="W85" s="113">
        <f t="shared" si="53"/>
        <v>-890905985.2704221</v>
      </c>
      <c r="X85" s="113">
        <f t="shared" si="53"/>
        <v>-596944055.39436126</v>
      </c>
      <c r="Y85" s="113">
        <f t="shared" si="53"/>
        <v>-633200030.22078645</v>
      </c>
      <c r="Z85" s="113">
        <f t="shared" si="53"/>
        <v>-664420168.53383946</v>
      </c>
      <c r="AA85" s="113">
        <f t="shared" si="53"/>
        <v>-692212297.88567078</v>
      </c>
      <c r="AB85" s="113">
        <f t="shared" si="53"/>
        <v>-725138917.24256122</v>
      </c>
      <c r="AC85" s="113">
        <f t="shared" si="53"/>
        <v>-757281471.74556851</v>
      </c>
      <c r="AD85" s="113">
        <f t="shared" si="53"/>
        <v>-795137299.73145485</v>
      </c>
      <c r="AE85" s="113">
        <f t="shared" si="53"/>
        <v>-834853106.50525546</v>
      </c>
      <c r="AF85" s="113">
        <f t="shared" si="53"/>
        <v>-876520318.68517649</v>
      </c>
      <c r="AG85" s="113">
        <f t="shared" si="53"/>
        <v>-920234855.60427463</v>
      </c>
    </row>
    <row r="86" spans="2:33" ht="15" customHeight="1" x14ac:dyDescent="0.4">
      <c r="B86" s="86" t="s">
        <v>131</v>
      </c>
      <c r="C86" s="240">
        <f>NPV(H14,D85:AG85)+C85</f>
        <v>-4932156734.9590473</v>
      </c>
      <c r="D86" s="113"/>
      <c r="E86" s="113"/>
      <c r="F86" s="113"/>
      <c r="G86" s="237"/>
    </row>
    <row r="87" spans="2:33" ht="15" customHeight="1" x14ac:dyDescent="0.4">
      <c r="B87" s="86" t="s">
        <v>132</v>
      </c>
      <c r="C87" s="236">
        <f>NPV(H14,D39:AG39)</f>
        <v>28123408.764402449</v>
      </c>
      <c r="D87" s="237"/>
      <c r="E87" s="237"/>
      <c r="F87" s="237"/>
      <c r="G87" s="237"/>
    </row>
    <row r="88" spans="2:33" ht="18.45" x14ac:dyDescent="0.5">
      <c r="B88" s="241" t="s">
        <v>80</v>
      </c>
      <c r="C88" s="242">
        <f>-C86/C87</f>
        <v>175.37549506452382</v>
      </c>
      <c r="D88" s="115"/>
      <c r="E88" s="115"/>
      <c r="F88" s="343"/>
      <c r="G88" s="343"/>
    </row>
    <row r="89" spans="2:33" ht="18.45" x14ac:dyDescent="0.5">
      <c r="C89" s="116"/>
      <c r="D89" s="116"/>
      <c r="E89" s="116"/>
      <c r="F89" s="341"/>
      <c r="G89" s="341"/>
    </row>
    <row r="90" spans="2:33" ht="18.45" x14ac:dyDescent="0.5">
      <c r="C90" s="116"/>
      <c r="D90" s="116"/>
      <c r="E90" s="116"/>
      <c r="F90" s="344"/>
      <c r="G90" s="344"/>
    </row>
    <row r="92" spans="2:33" x14ac:dyDescent="0.4">
      <c r="C92" s="345"/>
      <c r="D92" s="345"/>
      <c r="E92" s="345"/>
      <c r="F92" s="345"/>
      <c r="G92" s="345"/>
    </row>
    <row r="93" spans="2:33" x14ac:dyDescent="0.4">
      <c r="C93" s="345"/>
      <c r="D93" s="345"/>
      <c r="E93" s="345"/>
      <c r="F93" s="345"/>
      <c r="G93" s="345"/>
    </row>
    <row r="94" spans="2:33" ht="18.45" x14ac:dyDescent="0.5">
      <c r="C94" s="346"/>
      <c r="D94" s="346"/>
      <c r="E94" s="346"/>
      <c r="F94" s="343"/>
      <c r="G94" s="343"/>
    </row>
    <row r="95" spans="2:33" ht="18.45" x14ac:dyDescent="0.5">
      <c r="C95" s="116"/>
      <c r="D95" s="116"/>
      <c r="E95" s="116"/>
      <c r="F95" s="341"/>
      <c r="G95" s="341"/>
    </row>
    <row r="96" spans="2:33" ht="18.45" x14ac:dyDescent="0.5">
      <c r="C96" s="115"/>
      <c r="D96" s="115"/>
      <c r="E96" s="115"/>
      <c r="F96" s="342"/>
      <c r="G96" s="342"/>
    </row>
    <row r="98" spans="2:33" x14ac:dyDescent="0.4">
      <c r="C98" s="117"/>
      <c r="D98" s="118"/>
      <c r="E98" s="119"/>
    </row>
    <row r="99" spans="2:33" x14ac:dyDescent="0.4">
      <c r="D99" s="120"/>
      <c r="E99" s="121"/>
      <c r="F99" s="120"/>
      <c r="G99" s="120"/>
    </row>
    <row r="105" spans="2:33" ht="15.9" x14ac:dyDescent="0.45">
      <c r="B105" s="100"/>
      <c r="C105" s="97"/>
      <c r="D105" s="97"/>
      <c r="E105" s="97"/>
      <c r="F105" s="97"/>
      <c r="G105" s="97"/>
      <c r="H105" s="97"/>
      <c r="I105" s="97"/>
      <c r="J105" s="97"/>
      <c r="K105" s="97"/>
      <c r="L105" s="97"/>
      <c r="M105" s="97"/>
      <c r="N105" s="97"/>
      <c r="O105" s="97"/>
      <c r="P105" s="97"/>
      <c r="Q105" s="97"/>
      <c r="R105" s="97"/>
      <c r="S105" s="97"/>
      <c r="T105" s="97"/>
      <c r="U105" s="97"/>
      <c r="V105" s="97"/>
      <c r="W105" s="97"/>
      <c r="X105" s="97"/>
      <c r="Y105" s="97"/>
      <c r="Z105" s="97"/>
      <c r="AA105" s="97"/>
      <c r="AB105" s="97"/>
      <c r="AC105" s="97"/>
      <c r="AD105" s="97"/>
      <c r="AE105" s="97"/>
      <c r="AF105" s="97"/>
      <c r="AG105" s="97"/>
    </row>
    <row r="106" spans="2:33" ht="15.9" x14ac:dyDescent="0.45">
      <c r="B106" s="101"/>
      <c r="C106" s="100"/>
      <c r="D106" s="100"/>
      <c r="E106" s="100"/>
      <c r="F106" s="100"/>
      <c r="G106" s="100"/>
      <c r="H106" s="100"/>
      <c r="I106" s="100"/>
      <c r="J106" s="100"/>
      <c r="K106" s="100"/>
      <c r="L106" s="100"/>
      <c r="M106" s="100"/>
      <c r="N106" s="100"/>
      <c r="O106" s="100"/>
      <c r="P106" s="100"/>
      <c r="Q106" s="100"/>
      <c r="R106" s="100"/>
      <c r="S106" s="100"/>
      <c r="T106" s="100"/>
      <c r="U106" s="100"/>
      <c r="V106" s="100"/>
      <c r="W106" s="100"/>
      <c r="X106" s="100"/>
      <c r="Y106" s="100"/>
      <c r="Z106" s="100"/>
      <c r="AA106" s="100"/>
      <c r="AB106" s="100"/>
      <c r="AC106" s="100"/>
      <c r="AD106" s="100"/>
      <c r="AE106" s="100"/>
      <c r="AF106" s="100"/>
      <c r="AG106" s="100"/>
    </row>
    <row r="107" spans="2:33" ht="15.9" x14ac:dyDescent="0.45">
      <c r="B107" s="122"/>
      <c r="C107" s="123"/>
      <c r="D107" s="123"/>
      <c r="E107" s="123"/>
      <c r="F107" s="123"/>
      <c r="G107" s="123"/>
      <c r="H107" s="123"/>
      <c r="I107" s="123"/>
      <c r="J107" s="123"/>
      <c r="K107" s="123"/>
      <c r="L107" s="123"/>
      <c r="M107" s="123"/>
      <c r="N107" s="123"/>
      <c r="O107" s="123"/>
      <c r="P107" s="123"/>
      <c r="Q107" s="123"/>
      <c r="R107" s="123"/>
      <c r="S107" s="123"/>
      <c r="T107" s="123"/>
      <c r="U107" s="123"/>
      <c r="V107" s="123"/>
      <c r="W107" s="123"/>
      <c r="X107" s="123"/>
      <c r="Y107" s="123"/>
      <c r="Z107" s="123"/>
      <c r="AA107" s="123"/>
      <c r="AB107" s="123"/>
      <c r="AC107" s="123"/>
      <c r="AD107" s="123"/>
      <c r="AE107" s="123"/>
      <c r="AF107" s="123"/>
      <c r="AG107" s="124"/>
    </row>
    <row r="108" spans="2:33" ht="15.9" x14ac:dyDescent="0.45">
      <c r="B108" s="125"/>
      <c r="C108" s="103"/>
      <c r="D108" s="105"/>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c r="AD108" s="106"/>
      <c r="AE108" s="106"/>
      <c r="AF108" s="106"/>
      <c r="AG108" s="126"/>
    </row>
    <row r="109" spans="2:33" ht="15.9" x14ac:dyDescent="0.45">
      <c r="B109" s="125"/>
      <c r="C109" s="103"/>
      <c r="D109" s="107"/>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c r="AA109" s="108"/>
      <c r="AB109" s="108"/>
      <c r="AC109" s="108"/>
      <c r="AD109" s="108"/>
      <c r="AE109" s="108"/>
      <c r="AF109" s="108"/>
      <c r="AG109" s="127"/>
    </row>
    <row r="110" spans="2:33" ht="15.9" x14ac:dyDescent="0.45">
      <c r="B110" s="125"/>
      <c r="C110" s="103"/>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28"/>
    </row>
    <row r="111" spans="2:33" ht="15.9" x14ac:dyDescent="0.45">
      <c r="B111" s="129"/>
      <c r="C111" s="103"/>
      <c r="D111" s="105"/>
      <c r="E111" s="105"/>
      <c r="F111" s="105"/>
      <c r="G111" s="105"/>
      <c r="H111" s="105"/>
      <c r="I111" s="105"/>
      <c r="J111" s="105"/>
      <c r="K111" s="105"/>
      <c r="L111" s="105"/>
      <c r="M111" s="105"/>
      <c r="N111" s="105"/>
      <c r="O111" s="105"/>
      <c r="P111" s="105"/>
      <c r="Q111" s="105"/>
      <c r="R111" s="105"/>
      <c r="S111" s="105"/>
      <c r="T111" s="105"/>
      <c r="U111" s="105"/>
      <c r="V111" s="105"/>
      <c r="W111" s="105"/>
      <c r="X111" s="105"/>
      <c r="Y111" s="105"/>
      <c r="Z111" s="105"/>
      <c r="AA111" s="105"/>
      <c r="AB111" s="105"/>
      <c r="AC111" s="105"/>
      <c r="AD111" s="105"/>
      <c r="AE111" s="105"/>
      <c r="AF111" s="105"/>
      <c r="AG111" s="130"/>
    </row>
    <row r="112" spans="2:33" ht="15.9" x14ac:dyDescent="0.45">
      <c r="B112" s="131"/>
      <c r="C112" s="132"/>
      <c r="D112" s="133"/>
      <c r="E112" s="133"/>
      <c r="F112" s="133"/>
      <c r="G112" s="133"/>
      <c r="H112" s="133"/>
      <c r="I112" s="133"/>
      <c r="J112" s="133"/>
      <c r="K112" s="133"/>
      <c r="L112" s="133"/>
      <c r="M112" s="133"/>
      <c r="N112" s="133"/>
      <c r="O112" s="133"/>
      <c r="P112" s="133"/>
      <c r="Q112" s="133"/>
      <c r="R112" s="133"/>
      <c r="S112" s="133"/>
      <c r="T112" s="133"/>
      <c r="U112" s="133"/>
      <c r="V112" s="133"/>
      <c r="W112" s="133"/>
      <c r="X112" s="133"/>
      <c r="Y112" s="133"/>
      <c r="Z112" s="133"/>
      <c r="AA112" s="133"/>
      <c r="AB112" s="133"/>
      <c r="AC112" s="133"/>
      <c r="AD112" s="133"/>
      <c r="AE112" s="133"/>
      <c r="AF112" s="133"/>
      <c r="AG112" s="134"/>
    </row>
    <row r="113" spans="2:33" ht="15.9" x14ac:dyDescent="0.45">
      <c r="B113" s="129"/>
      <c r="C113" s="103"/>
      <c r="D113" s="105"/>
      <c r="E113" s="105"/>
      <c r="F113" s="105"/>
      <c r="G113" s="105"/>
      <c r="H113" s="105"/>
      <c r="I113" s="105"/>
      <c r="J113" s="105"/>
      <c r="K113" s="105"/>
      <c r="L113" s="105"/>
      <c r="M113" s="105"/>
      <c r="N113" s="105"/>
      <c r="O113" s="105"/>
      <c r="P113" s="105"/>
      <c r="Q113" s="105"/>
      <c r="R113" s="105"/>
      <c r="S113" s="105"/>
      <c r="T113" s="105"/>
      <c r="U113" s="105"/>
      <c r="V113" s="105"/>
      <c r="W113" s="105"/>
      <c r="X113" s="105"/>
      <c r="Y113" s="105"/>
      <c r="Z113" s="105"/>
      <c r="AA113" s="105"/>
      <c r="AB113" s="105"/>
      <c r="AC113" s="105"/>
      <c r="AD113" s="105"/>
      <c r="AE113" s="105"/>
      <c r="AF113" s="105"/>
      <c r="AG113" s="130"/>
    </row>
    <row r="114" spans="2:33" ht="15.9" x14ac:dyDescent="0.45">
      <c r="B114" s="129"/>
      <c r="C114" s="103"/>
      <c r="D114" s="105"/>
      <c r="E114" s="105"/>
      <c r="F114" s="105"/>
      <c r="G114" s="105"/>
      <c r="H114" s="105"/>
      <c r="I114" s="105"/>
      <c r="J114" s="105"/>
      <c r="K114" s="105"/>
      <c r="L114" s="105"/>
      <c r="M114" s="105"/>
      <c r="N114" s="105"/>
      <c r="O114" s="105"/>
      <c r="P114" s="105"/>
      <c r="Q114" s="105"/>
      <c r="R114" s="105"/>
      <c r="S114" s="105"/>
      <c r="T114" s="105"/>
      <c r="U114" s="105"/>
      <c r="V114" s="105"/>
      <c r="W114" s="105"/>
      <c r="X114" s="105"/>
      <c r="Y114" s="105"/>
      <c r="Z114" s="105"/>
      <c r="AA114" s="105"/>
      <c r="AB114" s="105"/>
      <c r="AC114" s="105"/>
      <c r="AD114" s="105"/>
      <c r="AE114" s="105"/>
      <c r="AF114" s="105"/>
      <c r="AG114" s="130"/>
    </row>
    <row r="115" spans="2:33" ht="15.9" x14ac:dyDescent="0.45">
      <c r="B115" s="129"/>
      <c r="C115" s="103"/>
      <c r="D115" s="105"/>
      <c r="E115" s="105"/>
      <c r="F115" s="105"/>
      <c r="G115" s="105"/>
      <c r="H115" s="105"/>
      <c r="I115" s="105"/>
      <c r="J115" s="105"/>
      <c r="K115" s="105"/>
      <c r="L115" s="105"/>
      <c r="M115" s="105"/>
      <c r="N115" s="105"/>
      <c r="O115" s="105"/>
      <c r="P115" s="105"/>
      <c r="Q115" s="105"/>
      <c r="R115" s="105"/>
      <c r="S115" s="105"/>
      <c r="T115" s="105"/>
      <c r="U115" s="105"/>
      <c r="V115" s="105"/>
      <c r="W115" s="105"/>
      <c r="X115" s="105"/>
      <c r="Y115" s="105"/>
      <c r="Z115" s="105"/>
      <c r="AA115" s="105"/>
      <c r="AB115" s="105"/>
      <c r="AC115" s="105"/>
      <c r="AD115" s="105"/>
      <c r="AE115" s="105"/>
      <c r="AF115" s="105"/>
      <c r="AG115" s="105"/>
    </row>
    <row r="116" spans="2:33" ht="15.9" x14ac:dyDescent="0.45">
      <c r="B116" s="129"/>
      <c r="C116" s="103"/>
      <c r="D116" s="105"/>
      <c r="E116" s="105"/>
      <c r="F116" s="105"/>
      <c r="G116" s="105"/>
      <c r="H116" s="105"/>
      <c r="I116" s="105"/>
      <c r="J116" s="105"/>
      <c r="K116" s="105"/>
      <c r="L116" s="105"/>
      <c r="M116" s="105"/>
      <c r="N116" s="105"/>
      <c r="O116" s="105"/>
      <c r="P116" s="105"/>
      <c r="Q116" s="105"/>
      <c r="R116" s="105"/>
      <c r="S116" s="105"/>
      <c r="T116" s="105"/>
      <c r="U116" s="105"/>
      <c r="V116" s="105"/>
      <c r="W116" s="105"/>
      <c r="X116" s="105"/>
      <c r="Y116" s="105"/>
      <c r="Z116" s="105"/>
      <c r="AA116" s="105"/>
      <c r="AB116" s="105"/>
      <c r="AC116" s="105"/>
      <c r="AD116" s="105"/>
      <c r="AE116" s="105"/>
      <c r="AF116" s="105"/>
      <c r="AG116" s="130"/>
    </row>
    <row r="117" spans="2:33" ht="15.9" x14ac:dyDescent="0.45">
      <c r="B117" s="131"/>
      <c r="C117" s="132"/>
      <c r="D117" s="133"/>
      <c r="E117" s="133"/>
      <c r="F117" s="133"/>
      <c r="G117" s="133"/>
      <c r="H117" s="133"/>
      <c r="I117" s="133"/>
      <c r="J117" s="133"/>
      <c r="K117" s="133"/>
      <c r="L117" s="133"/>
      <c r="M117" s="133"/>
      <c r="N117" s="133"/>
      <c r="O117" s="133"/>
      <c r="P117" s="133"/>
      <c r="Q117" s="133"/>
      <c r="R117" s="133"/>
      <c r="S117" s="133"/>
      <c r="T117" s="133"/>
      <c r="U117" s="133"/>
      <c r="V117" s="133"/>
      <c r="W117" s="133"/>
      <c r="X117" s="133"/>
      <c r="Y117" s="133"/>
      <c r="Z117" s="133"/>
      <c r="AA117" s="133"/>
      <c r="AB117" s="133"/>
      <c r="AC117" s="133"/>
      <c r="AD117" s="133"/>
      <c r="AE117" s="133"/>
      <c r="AF117" s="133"/>
      <c r="AG117" s="134"/>
    </row>
    <row r="118" spans="2:33" ht="15.9" x14ac:dyDescent="0.45">
      <c r="B118" s="129"/>
      <c r="C118" s="103"/>
      <c r="D118" s="105"/>
      <c r="E118" s="105"/>
      <c r="F118" s="105"/>
      <c r="G118" s="105"/>
      <c r="H118" s="105"/>
      <c r="I118" s="105"/>
      <c r="J118" s="105"/>
      <c r="K118" s="105"/>
      <c r="L118" s="105"/>
      <c r="M118" s="105"/>
      <c r="N118" s="105"/>
      <c r="O118" s="105"/>
      <c r="P118" s="105"/>
      <c r="Q118" s="105"/>
      <c r="R118" s="105"/>
      <c r="S118" s="105"/>
      <c r="T118" s="105"/>
      <c r="U118" s="105"/>
      <c r="V118" s="105"/>
      <c r="W118" s="105"/>
      <c r="X118" s="105"/>
      <c r="Y118" s="105"/>
      <c r="Z118" s="105"/>
      <c r="AA118" s="105"/>
      <c r="AB118" s="105"/>
      <c r="AC118" s="105"/>
      <c r="AD118" s="105"/>
      <c r="AE118" s="105"/>
      <c r="AF118" s="105"/>
      <c r="AG118" s="130"/>
    </row>
    <row r="119" spans="2:33" ht="15.9" x14ac:dyDescent="0.45">
      <c r="B119" s="129"/>
      <c r="C119" s="103"/>
      <c r="D119" s="105"/>
      <c r="E119" s="105"/>
      <c r="F119" s="105"/>
      <c r="G119" s="105"/>
      <c r="H119" s="105"/>
      <c r="I119" s="105"/>
      <c r="J119" s="105"/>
      <c r="K119" s="105"/>
      <c r="L119" s="105"/>
      <c r="M119" s="105"/>
      <c r="N119" s="105"/>
      <c r="O119" s="105"/>
      <c r="P119" s="105"/>
      <c r="Q119" s="105"/>
      <c r="R119" s="105"/>
      <c r="S119" s="105"/>
      <c r="T119" s="105"/>
      <c r="U119" s="105"/>
      <c r="V119" s="105"/>
      <c r="W119" s="105"/>
      <c r="X119" s="105"/>
      <c r="Y119" s="105"/>
      <c r="Z119" s="105"/>
      <c r="AA119" s="105"/>
      <c r="AB119" s="105"/>
      <c r="AC119" s="105"/>
      <c r="AD119" s="105"/>
      <c r="AE119" s="105"/>
      <c r="AF119" s="105"/>
      <c r="AG119" s="130"/>
    </row>
    <row r="120" spans="2:33" ht="15.9" x14ac:dyDescent="0.45">
      <c r="B120" s="131"/>
      <c r="C120" s="13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33"/>
      <c r="AB120" s="133"/>
      <c r="AC120" s="133"/>
      <c r="AD120" s="133"/>
      <c r="AE120" s="133"/>
      <c r="AF120" s="133"/>
      <c r="AG120" s="133"/>
    </row>
    <row r="121" spans="2:33" ht="15.9" x14ac:dyDescent="0.45">
      <c r="B121" s="129"/>
      <c r="C121" s="109"/>
      <c r="D121" s="112"/>
      <c r="E121" s="112"/>
      <c r="F121" s="112"/>
      <c r="G121" s="112"/>
      <c r="H121" s="112"/>
      <c r="I121" s="112"/>
      <c r="J121" s="112"/>
      <c r="K121" s="112"/>
      <c r="L121" s="112"/>
      <c r="M121" s="112"/>
      <c r="N121" s="103"/>
      <c r="O121" s="103"/>
      <c r="P121" s="103"/>
      <c r="Q121" s="103"/>
      <c r="R121" s="103"/>
      <c r="S121" s="103"/>
      <c r="T121" s="103"/>
      <c r="U121" s="103"/>
      <c r="V121" s="103"/>
      <c r="W121" s="103"/>
      <c r="X121" s="103"/>
      <c r="Y121" s="103"/>
      <c r="Z121" s="103"/>
      <c r="AA121" s="103"/>
      <c r="AB121" s="103"/>
      <c r="AC121" s="103"/>
      <c r="AD121" s="103"/>
      <c r="AE121" s="103"/>
      <c r="AF121" s="103"/>
      <c r="AG121" s="135"/>
    </row>
    <row r="122" spans="2:33" ht="15.9" x14ac:dyDescent="0.45">
      <c r="B122" s="131"/>
      <c r="C122" s="132"/>
      <c r="D122" s="133"/>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133"/>
      <c r="AB122" s="133"/>
      <c r="AC122" s="133"/>
      <c r="AD122" s="133"/>
      <c r="AE122" s="133"/>
      <c r="AF122" s="133"/>
      <c r="AG122" s="133"/>
    </row>
    <row r="123" spans="2:33" ht="15.9" x14ac:dyDescent="0.45">
      <c r="B123" s="129"/>
      <c r="C123" s="103"/>
      <c r="D123" s="102"/>
      <c r="E123" s="102"/>
      <c r="F123" s="102"/>
      <c r="G123" s="102"/>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row>
    <row r="124" spans="2:33" ht="15.9" x14ac:dyDescent="0.45">
      <c r="B124" s="129"/>
      <c r="C124" s="103"/>
      <c r="D124" s="105"/>
      <c r="E124" s="105"/>
      <c r="F124" s="105"/>
      <c r="G124" s="105"/>
      <c r="H124" s="105"/>
      <c r="I124" s="105"/>
      <c r="J124" s="105"/>
      <c r="K124" s="105"/>
      <c r="L124" s="105"/>
      <c r="M124" s="105"/>
      <c r="N124" s="105"/>
      <c r="O124" s="105"/>
      <c r="P124" s="105"/>
      <c r="Q124" s="105"/>
      <c r="R124" s="105"/>
      <c r="S124" s="105"/>
      <c r="T124" s="105"/>
      <c r="U124" s="105"/>
      <c r="V124" s="105"/>
      <c r="W124" s="105"/>
      <c r="X124" s="105"/>
      <c r="Y124" s="105"/>
      <c r="Z124" s="105"/>
      <c r="AA124" s="105"/>
      <c r="AB124" s="105"/>
      <c r="AC124" s="105"/>
      <c r="AD124" s="105"/>
      <c r="AE124" s="105"/>
      <c r="AF124" s="105"/>
      <c r="AG124" s="105"/>
    </row>
    <row r="125" spans="2:33" ht="15.9" x14ac:dyDescent="0.45">
      <c r="B125" s="129"/>
      <c r="C125" s="103"/>
      <c r="D125" s="105"/>
      <c r="E125" s="105"/>
      <c r="F125" s="105"/>
      <c r="G125" s="105"/>
      <c r="H125" s="105"/>
      <c r="I125" s="105"/>
      <c r="J125" s="105"/>
      <c r="K125" s="105"/>
      <c r="L125" s="105"/>
      <c r="M125" s="105"/>
      <c r="N125" s="105"/>
      <c r="O125" s="105"/>
      <c r="P125" s="105"/>
      <c r="Q125" s="105"/>
      <c r="R125" s="105"/>
      <c r="S125" s="105"/>
      <c r="T125" s="105"/>
      <c r="U125" s="105"/>
      <c r="V125" s="105"/>
      <c r="W125" s="105"/>
      <c r="X125" s="105"/>
      <c r="Y125" s="105"/>
      <c r="Z125" s="105"/>
      <c r="AA125" s="105"/>
      <c r="AB125" s="105"/>
      <c r="AC125" s="105"/>
      <c r="AD125" s="105"/>
      <c r="AE125" s="105"/>
      <c r="AF125" s="105"/>
      <c r="AG125" s="105"/>
    </row>
    <row r="126" spans="2:33" ht="15.9" x14ac:dyDescent="0.45">
      <c r="B126" s="129"/>
      <c r="C126" s="103"/>
      <c r="D126" s="105"/>
      <c r="E126" s="105"/>
      <c r="F126" s="105"/>
      <c r="G126" s="105"/>
      <c r="H126" s="105"/>
      <c r="I126" s="105"/>
      <c r="J126" s="105"/>
      <c r="K126" s="105"/>
      <c r="L126" s="105"/>
      <c r="M126" s="105"/>
      <c r="N126" s="105"/>
      <c r="O126" s="105"/>
      <c r="P126" s="105"/>
      <c r="Q126" s="105"/>
      <c r="R126" s="105"/>
      <c r="S126" s="105"/>
      <c r="T126" s="105"/>
      <c r="U126" s="105"/>
      <c r="V126" s="105"/>
      <c r="W126" s="105"/>
      <c r="X126" s="105"/>
      <c r="Y126" s="105"/>
      <c r="Z126" s="105"/>
      <c r="AA126" s="105"/>
      <c r="AB126" s="105"/>
      <c r="AC126" s="105"/>
      <c r="AD126" s="105"/>
      <c r="AE126" s="105"/>
      <c r="AF126" s="105"/>
      <c r="AG126" s="130"/>
    </row>
    <row r="127" spans="2:33" ht="15.9" x14ac:dyDescent="0.45">
      <c r="B127" s="131"/>
      <c r="C127" s="133"/>
      <c r="D127" s="133"/>
      <c r="E127" s="133"/>
      <c r="F127" s="133"/>
      <c r="G127" s="133"/>
      <c r="H127" s="133"/>
      <c r="I127" s="133"/>
      <c r="J127" s="133"/>
      <c r="K127" s="133"/>
      <c r="L127" s="133"/>
      <c r="M127" s="133"/>
      <c r="N127" s="133"/>
      <c r="O127" s="133"/>
      <c r="P127" s="133"/>
      <c r="Q127" s="133"/>
      <c r="R127" s="133"/>
      <c r="S127" s="133"/>
      <c r="T127" s="133"/>
      <c r="U127" s="133"/>
      <c r="V127" s="133"/>
      <c r="W127" s="133"/>
      <c r="X127" s="133"/>
      <c r="Y127" s="133"/>
      <c r="Z127" s="133"/>
      <c r="AA127" s="133"/>
      <c r="AB127" s="133"/>
      <c r="AC127" s="133"/>
      <c r="AD127" s="133"/>
      <c r="AE127" s="133"/>
      <c r="AF127" s="133"/>
      <c r="AG127" s="134"/>
    </row>
    <row r="128" spans="2:33" ht="16.3" thickBot="1" x14ac:dyDescent="0.5">
      <c r="B128" s="136"/>
      <c r="C128" s="137"/>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137"/>
      <c r="AB128" s="137"/>
      <c r="AC128" s="137"/>
      <c r="AD128" s="137"/>
      <c r="AE128" s="137"/>
      <c r="AF128" s="137"/>
      <c r="AG128" s="137"/>
    </row>
    <row r="129" spans="2:33" ht="16.3" thickBot="1" x14ac:dyDescent="0.5">
      <c r="B129" s="136"/>
      <c r="C129" s="137"/>
      <c r="D129" s="137"/>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137"/>
      <c r="AD129" s="137"/>
      <c r="AE129" s="137"/>
      <c r="AF129" s="137"/>
      <c r="AG129" s="138"/>
    </row>
    <row r="130" spans="2:33" ht="16.3" thickBot="1" x14ac:dyDescent="0.5">
      <c r="B130" s="136"/>
      <c r="C130" s="137"/>
      <c r="D130" s="137"/>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137"/>
      <c r="AD130" s="137"/>
      <c r="AE130" s="137"/>
      <c r="AF130" s="137"/>
      <c r="AG130" s="138"/>
    </row>
    <row r="131" spans="2:33" ht="16.3" thickBot="1" x14ac:dyDescent="0.5">
      <c r="B131" s="136"/>
      <c r="C131" s="139"/>
      <c r="D131" s="140"/>
      <c r="E131" s="140"/>
      <c r="F131" s="140"/>
      <c r="G131" s="140"/>
      <c r="H131" s="140"/>
      <c r="I131" s="140"/>
      <c r="J131" s="140"/>
      <c r="K131" s="140"/>
      <c r="L131" s="140"/>
      <c r="M131" s="140"/>
      <c r="N131" s="140"/>
      <c r="O131" s="140"/>
      <c r="P131" s="140"/>
      <c r="Q131" s="140"/>
      <c r="R131" s="140"/>
      <c r="S131" s="140"/>
      <c r="T131" s="140"/>
      <c r="U131" s="140"/>
      <c r="V131" s="140"/>
      <c r="W131" s="140"/>
      <c r="X131" s="140"/>
      <c r="Y131" s="140"/>
      <c r="Z131" s="140"/>
      <c r="AA131" s="140"/>
      <c r="AB131" s="140"/>
      <c r="AC131" s="140"/>
      <c r="AD131" s="140"/>
      <c r="AE131" s="140"/>
      <c r="AF131" s="140"/>
      <c r="AG131" s="141"/>
    </row>
  </sheetData>
  <mergeCells count="14">
    <mergeCell ref="B17:D17"/>
    <mergeCell ref="C1:H2"/>
    <mergeCell ref="J3:L3"/>
    <mergeCell ref="O3:Q3"/>
    <mergeCell ref="B4:D4"/>
    <mergeCell ref="F4:H4"/>
    <mergeCell ref="F95:G95"/>
    <mergeCell ref="F96:G96"/>
    <mergeCell ref="F88:G88"/>
    <mergeCell ref="F89:G89"/>
    <mergeCell ref="F90:G90"/>
    <mergeCell ref="C92:G93"/>
    <mergeCell ref="C94:E94"/>
    <mergeCell ref="F94:G94"/>
  </mergeCells>
  <conditionalFormatting sqref="O6:T14">
    <cfRule type="cellIs" dxfId="8" priority="1" operator="greaterThan">
      <formula>0</formula>
    </cfRule>
    <cfRule type="cellIs" dxfId="7" priority="2" operator="lessThan">
      <formula>0</formula>
    </cfRule>
  </conditionalFormatting>
  <conditionalFormatting sqref="Q17">
    <cfRule type="cellIs" dxfId="6" priority="3" operator="greaterThan">
      <formula>0</formula>
    </cfRule>
    <cfRule type="cellIs" dxfId="5" priority="4" operator="lessThan">
      <formula>0</formula>
    </cfRule>
  </conditionalFormatting>
  <pageMargins left="0.7" right="0.7" top="0.75" bottom="0.75" header="0.3" footer="0.3"/>
  <drawing r:id="rId1"/>
  <legacy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EBCB21DB-5932-BC48-83B6-3B5875327C14}">
          <x14:formula1>
            <xm:f>Otros!$B$3:$B$4</xm:f>
          </x14:formula1>
          <xm:sqref>D19 D22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BD6E5-D705-4415-9B8C-9C5F39955777}">
  <dimension ref="C2:E27"/>
  <sheetViews>
    <sheetView workbookViewId="0">
      <selection activeCell="E2" sqref="E2:E5"/>
    </sheetView>
  </sheetViews>
  <sheetFormatPr defaultColWidth="10.85546875" defaultRowHeight="15.9" x14ac:dyDescent="0.45"/>
  <sheetData>
    <row r="2" spans="3:5" x14ac:dyDescent="0.45">
      <c r="C2" s="293">
        <v>547.29999999999995</v>
      </c>
      <c r="D2" s="293">
        <v>301.10000000000002</v>
      </c>
      <c r="E2" s="293">
        <v>312.89999999999998</v>
      </c>
    </row>
    <row r="3" spans="3:5" x14ac:dyDescent="0.45">
      <c r="C3" s="294">
        <v>364.4</v>
      </c>
      <c r="D3" s="294">
        <v>314.5</v>
      </c>
      <c r="E3" s="294">
        <v>309.89999999999998</v>
      </c>
    </row>
    <row r="4" spans="3:5" x14ac:dyDescent="0.45">
      <c r="C4" s="293">
        <v>349.5</v>
      </c>
      <c r="D4" s="293">
        <v>312.5</v>
      </c>
      <c r="E4" s="293">
        <v>304.39999999999998</v>
      </c>
    </row>
    <row r="5" spans="3:5" x14ac:dyDescent="0.45">
      <c r="C5" s="294">
        <v>302.7</v>
      </c>
      <c r="D5" s="294">
        <v>305.8</v>
      </c>
      <c r="E5" s="294">
        <v>300.7</v>
      </c>
    </row>
    <row r="6" spans="3:5" x14ac:dyDescent="0.45">
      <c r="C6" s="293">
        <v>247.3</v>
      </c>
      <c r="D6" s="293">
        <v>311.2</v>
      </c>
    </row>
    <row r="7" spans="3:5" x14ac:dyDescent="0.45">
      <c r="C7" s="294">
        <v>261.5</v>
      </c>
      <c r="D7" s="294">
        <v>319.5</v>
      </c>
    </row>
    <row r="8" spans="3:5" x14ac:dyDescent="0.45">
      <c r="C8" s="293">
        <v>279.10000000000002</v>
      </c>
      <c r="D8" s="293">
        <v>322.2</v>
      </c>
    </row>
    <row r="9" spans="3:5" x14ac:dyDescent="0.45">
      <c r="C9" s="294">
        <v>291</v>
      </c>
      <c r="D9" s="294">
        <v>321.7</v>
      </c>
    </row>
    <row r="10" spans="3:5" x14ac:dyDescent="0.45">
      <c r="C10" s="293">
        <v>249.6</v>
      </c>
      <c r="D10" s="293">
        <v>325.5</v>
      </c>
    </row>
    <row r="11" spans="3:5" x14ac:dyDescent="0.45">
      <c r="C11" s="294">
        <v>281.8</v>
      </c>
      <c r="D11" s="294">
        <v>327.8</v>
      </c>
    </row>
    <row r="12" spans="3:5" x14ac:dyDescent="0.45">
      <c r="C12" s="293">
        <v>300.60000000000002</v>
      </c>
      <c r="D12" s="293">
        <v>325.89999999999998</v>
      </c>
    </row>
    <row r="13" spans="3:5" x14ac:dyDescent="0.45">
      <c r="C13" s="294">
        <v>322</v>
      </c>
      <c r="D13" s="294">
        <v>320.7</v>
      </c>
    </row>
    <row r="14" spans="3:5" x14ac:dyDescent="0.45">
      <c r="C14" s="293">
        <v>292.3</v>
      </c>
      <c r="D14" s="293">
        <v>319.39999999999998</v>
      </c>
    </row>
    <row r="15" spans="3:5" x14ac:dyDescent="0.45">
      <c r="C15" s="294">
        <v>313.89999999999998</v>
      </c>
      <c r="D15" s="294">
        <v>315.10000000000002</v>
      </c>
    </row>
    <row r="16" spans="3:5" x14ac:dyDescent="0.45">
      <c r="C16" s="293">
        <v>325.39999999999998</v>
      </c>
      <c r="D16" s="293">
        <v>308.39999999999998</v>
      </c>
    </row>
    <row r="17" spans="3:4" x14ac:dyDescent="0.45">
      <c r="C17" s="294">
        <v>325.60000000000002</v>
      </c>
      <c r="D17" s="294">
        <v>306.5</v>
      </c>
    </row>
    <row r="18" spans="3:4" x14ac:dyDescent="0.45">
      <c r="C18" s="293">
        <v>294.10000000000002</v>
      </c>
      <c r="D18" s="293">
        <v>308.3</v>
      </c>
    </row>
    <row r="19" spans="3:4" x14ac:dyDescent="0.45">
      <c r="C19" s="294">
        <v>305.7</v>
      </c>
      <c r="D19" s="294">
        <v>317.10000000000002</v>
      </c>
    </row>
    <row r="20" spans="3:4" x14ac:dyDescent="0.45">
      <c r="C20" s="293">
        <v>310.8</v>
      </c>
      <c r="D20" s="293">
        <v>316.39999999999998</v>
      </c>
    </row>
    <row r="21" spans="3:4" x14ac:dyDescent="0.45">
      <c r="C21" s="294">
        <v>311.2</v>
      </c>
      <c r="D21" s="294">
        <v>309.39999999999998</v>
      </c>
    </row>
    <row r="22" spans="3:4" x14ac:dyDescent="0.45">
      <c r="C22" s="293">
        <v>287</v>
      </c>
      <c r="D22" s="293">
        <v>307.3</v>
      </c>
    </row>
    <row r="23" spans="3:4" x14ac:dyDescent="0.45">
      <c r="C23" s="294">
        <v>294.3</v>
      </c>
      <c r="D23" s="294">
        <v>302.5</v>
      </c>
    </row>
    <row r="24" spans="3:4" x14ac:dyDescent="0.45">
      <c r="C24" s="293">
        <v>304.8</v>
      </c>
    </row>
    <row r="25" spans="3:4" x14ac:dyDescent="0.45">
      <c r="C25" s="294">
        <v>303.89999999999998</v>
      </c>
    </row>
    <row r="26" spans="3:4" x14ac:dyDescent="0.45">
      <c r="C26" s="293">
        <v>276.10000000000002</v>
      </c>
    </row>
    <row r="27" spans="3:4" x14ac:dyDescent="0.45">
      <c r="C27" s="294">
        <v>281.60000000000002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40A71-A9EC-4C6C-82A2-AE00C60E2C0C}">
  <dimension ref="A1:AK115"/>
  <sheetViews>
    <sheetView showGridLines="0" tabSelected="1" zoomScale="80" zoomScaleNormal="90" workbookViewId="0">
      <pane xSplit="2" topLeftCell="C1" activePane="topRight" state="frozen"/>
      <selection activeCell="B40" sqref="B40"/>
      <selection pane="topRight" activeCell="D18" sqref="D18"/>
    </sheetView>
  </sheetViews>
  <sheetFormatPr defaultColWidth="10" defaultRowHeight="14.6" x14ac:dyDescent="0.4"/>
  <cols>
    <col min="1" max="1" width="3" style="86" customWidth="1"/>
    <col min="2" max="2" width="36" style="86" customWidth="1"/>
    <col min="3" max="4" width="18.5" style="86" customWidth="1"/>
    <col min="5" max="5" width="21" style="86" customWidth="1"/>
    <col min="6" max="6" width="36.5" style="86" customWidth="1"/>
    <col min="7" max="7" width="19.5" style="86" bestFit="1" customWidth="1"/>
    <col min="8" max="8" width="19.85546875" style="86" customWidth="1"/>
    <col min="9" max="9" width="20" style="86" customWidth="1"/>
    <col min="10" max="10" width="36.85546875" style="86" customWidth="1"/>
    <col min="11" max="13" width="18.5" style="86" customWidth="1"/>
    <col min="14" max="14" width="30.2109375" style="86" customWidth="1"/>
    <col min="15" max="20" width="14.35546875" style="86" customWidth="1"/>
    <col min="21" max="28" width="18.5" style="86" customWidth="1"/>
    <col min="29" max="33" width="18" style="86" customWidth="1"/>
    <col min="34" max="34" width="15" style="86" bestFit="1" customWidth="1"/>
    <col min="35" max="16384" width="10" style="86"/>
  </cols>
  <sheetData>
    <row r="1" spans="1:31" ht="19" customHeight="1" x14ac:dyDescent="0.4">
      <c r="A1" s="1"/>
      <c r="B1" s="1"/>
      <c r="C1" s="348" t="s">
        <v>323</v>
      </c>
      <c r="D1" s="348"/>
      <c r="E1" s="348"/>
      <c r="F1" s="348"/>
      <c r="G1" s="348"/>
      <c r="H1" s="348"/>
    </row>
    <row r="2" spans="1:31" ht="19" customHeight="1" thickBot="1" x14ac:dyDescent="0.45">
      <c r="A2" s="1"/>
      <c r="B2" s="1"/>
      <c r="C2" s="349"/>
      <c r="D2" s="349"/>
      <c r="E2" s="349"/>
      <c r="F2" s="349"/>
      <c r="G2" s="349"/>
      <c r="H2" s="349"/>
    </row>
    <row r="3" spans="1:31" ht="19" customHeight="1" thickBot="1" x14ac:dyDescent="0.45">
      <c r="A3" s="1"/>
      <c r="B3" s="1"/>
      <c r="J3" s="350" t="s">
        <v>1</v>
      </c>
      <c r="K3" s="350"/>
      <c r="L3" s="350"/>
      <c r="O3" s="351"/>
      <c r="P3" s="351"/>
      <c r="Q3" s="351"/>
    </row>
    <row r="4" spans="1:31" ht="18" customHeight="1" thickBot="1" x14ac:dyDescent="0.45">
      <c r="B4" s="347" t="s">
        <v>2</v>
      </c>
      <c r="C4" s="347"/>
      <c r="D4" s="347"/>
      <c r="F4" s="347" t="s">
        <v>3</v>
      </c>
      <c r="G4" s="347"/>
      <c r="H4" s="347"/>
      <c r="J4" s="90" t="s">
        <v>4</v>
      </c>
      <c r="K4" s="151" t="s">
        <v>5</v>
      </c>
      <c r="L4" s="1">
        <v>1373</v>
      </c>
    </row>
    <row r="5" spans="1:31" ht="18" customHeight="1" x14ac:dyDescent="0.4">
      <c r="B5" s="90" t="s">
        <v>4</v>
      </c>
      <c r="C5" s="151" t="s">
        <v>5</v>
      </c>
      <c r="D5" s="1">
        <v>1379</v>
      </c>
      <c r="F5" s="90" t="s">
        <v>6</v>
      </c>
      <c r="G5" s="151" t="s">
        <v>7</v>
      </c>
      <c r="H5" s="94">
        <f>(D6*(100%-H8))/29</f>
        <v>9758.4827586206902</v>
      </c>
      <c r="J5" s="90" t="s">
        <v>8</v>
      </c>
      <c r="K5" s="151" t="s">
        <v>9</v>
      </c>
      <c r="L5" s="91">
        <f>D7*D5</f>
        <v>2246000</v>
      </c>
      <c r="M5" s="244"/>
      <c r="N5" s="85" t="s">
        <v>324</v>
      </c>
      <c r="O5" s="119" t="s">
        <v>10</v>
      </c>
      <c r="P5" s="119" t="s">
        <v>11</v>
      </c>
      <c r="Q5" s="119" t="s">
        <v>12</v>
      </c>
      <c r="R5" s="119" t="s">
        <v>13</v>
      </c>
      <c r="S5" s="119" t="s">
        <v>14</v>
      </c>
      <c r="T5" s="119" t="s">
        <v>15</v>
      </c>
      <c r="AC5" s="86" t="s">
        <v>16</v>
      </c>
      <c r="AD5" s="147">
        <f ca="1">F66</f>
        <v>527559366.62559485</v>
      </c>
      <c r="AE5" s="86">
        <f ca="1">AD5/$X$14</f>
        <v>0.57524026228664604</v>
      </c>
    </row>
    <row r="6" spans="1:31" ht="18" customHeight="1" x14ac:dyDescent="0.4">
      <c r="B6" s="90" t="s">
        <v>8</v>
      </c>
      <c r="C6" s="151" t="s">
        <v>9</v>
      </c>
      <c r="D6" s="91">
        <v>2246000</v>
      </c>
      <c r="E6" s="151"/>
      <c r="F6" s="90" t="s">
        <v>17</v>
      </c>
      <c r="G6" s="151" t="s">
        <v>18</v>
      </c>
      <c r="H6" s="94">
        <f>+H9*D8</f>
        <v>4020000000</v>
      </c>
      <c r="J6" s="90" t="s">
        <v>19</v>
      </c>
      <c r="K6" s="151" t="s">
        <v>18</v>
      </c>
      <c r="L6" s="93">
        <f>D8</f>
        <v>4020000000</v>
      </c>
      <c r="N6" s="85" t="s">
        <v>20</v>
      </c>
      <c r="O6" s="257">
        <f>D34</f>
        <v>421.58000000000004</v>
      </c>
      <c r="P6" s="257">
        <f t="shared" ref="P6:T6" si="0">E34</f>
        <v>402.21300000000008</v>
      </c>
      <c r="Q6" s="257">
        <f t="shared" si="0"/>
        <v>410.52690000000007</v>
      </c>
      <c r="R6" s="257">
        <f t="shared" si="0"/>
        <v>421.14397500000013</v>
      </c>
      <c r="S6" s="257">
        <f t="shared" si="0"/>
        <v>455.20709062500021</v>
      </c>
      <c r="T6" s="257">
        <f t="shared" si="0"/>
        <v>501.18300677812528</v>
      </c>
      <c r="V6" s="86" t="s">
        <v>21</v>
      </c>
      <c r="W6" s="147">
        <f>D61</f>
        <v>994864322.0480001</v>
      </c>
      <c r="X6" s="264">
        <f>W6/$X$14</f>
        <v>1.0847803105364353</v>
      </c>
      <c r="AC6" s="86" t="s">
        <v>22</v>
      </c>
      <c r="AD6" s="147">
        <f>-F54</f>
        <v>268389064.1117501</v>
      </c>
      <c r="AE6" s="86">
        <f>AD6/$X$14</f>
        <v>0.29264610847878053</v>
      </c>
    </row>
    <row r="7" spans="1:31" x14ac:dyDescent="0.4">
      <c r="B7" s="90" t="s">
        <v>23</v>
      </c>
      <c r="C7" s="151" t="s">
        <v>24</v>
      </c>
      <c r="D7" s="92">
        <f>D6/D5</f>
        <v>1628.7164612037709</v>
      </c>
      <c r="E7" s="265">
        <v>1</v>
      </c>
      <c r="F7" s="90" t="s">
        <v>25</v>
      </c>
      <c r="G7" s="151" t="s">
        <v>26</v>
      </c>
      <c r="H7" s="93">
        <f>16000000</f>
        <v>16000000</v>
      </c>
      <c r="I7" s="113"/>
      <c r="J7" s="90" t="s">
        <v>27</v>
      </c>
      <c r="K7" s="151" t="s">
        <v>26</v>
      </c>
      <c r="L7" s="94">
        <v>57400000</v>
      </c>
      <c r="N7" s="85" t="s">
        <v>28</v>
      </c>
      <c r="O7" s="266">
        <f t="shared" ref="O7:T7" si="1">D35/1000000</f>
        <v>946.86868000000015</v>
      </c>
      <c r="P7" s="266">
        <f t="shared" si="1"/>
        <v>899.44540937420697</v>
      </c>
      <c r="Q7" s="266">
        <f t="shared" si="1"/>
        <v>914.03117804880014</v>
      </c>
      <c r="R7" s="266">
        <f t="shared" si="1"/>
        <v>933.56018919319672</v>
      </c>
      <c r="S7" s="266">
        <f t="shared" si="1"/>
        <v>1004.6266033618865</v>
      </c>
      <c r="T7" s="266">
        <f t="shared" si="1"/>
        <v>1101.2031045708793</v>
      </c>
      <c r="V7" s="86" t="s">
        <v>22</v>
      </c>
      <c r="W7" s="147">
        <f>D46</f>
        <v>-215599630.1133664</v>
      </c>
      <c r="X7" s="264">
        <f>W7/$X$14</f>
        <v>-0.23508555741999365</v>
      </c>
      <c r="AC7" s="86" t="s">
        <v>29</v>
      </c>
      <c r="AD7" s="87">
        <f>-SUM(F39:F42)</f>
        <v>55792095.970732808</v>
      </c>
      <c r="AE7" s="86">
        <f t="shared" ref="AE7" si="2">AD7/$X$14</f>
        <v>6.0834594076125757E-2</v>
      </c>
    </row>
    <row r="8" spans="1:31" x14ac:dyDescent="0.4">
      <c r="B8" s="90" t="s">
        <v>30</v>
      </c>
      <c r="C8" s="151" t="s">
        <v>18</v>
      </c>
      <c r="D8" s="93">
        <f>4020000000</f>
        <v>4020000000</v>
      </c>
      <c r="E8" s="229"/>
      <c r="F8" s="90" t="s">
        <v>31</v>
      </c>
      <c r="G8" s="151" t="s">
        <v>32</v>
      </c>
      <c r="H8" s="144">
        <v>0.874</v>
      </c>
      <c r="I8" s="99"/>
      <c r="N8" s="85" t="s">
        <v>33</v>
      </c>
      <c r="O8" s="266">
        <f t="shared" ref="O8:T8" si="3">(D36+D37)/1000000</f>
        <v>-80.721999999999994</v>
      </c>
      <c r="P8" s="266">
        <f t="shared" si="3"/>
        <v>-85.203690620689656</v>
      </c>
      <c r="Q8" s="266">
        <f t="shared" si="3"/>
        <v>-91.413184615924152</v>
      </c>
      <c r="R8" s="266">
        <f t="shared" si="3"/>
        <v>-95.899231836330515</v>
      </c>
      <c r="S8" s="266">
        <f t="shared" si="3"/>
        <v>-100.60535081723773</v>
      </c>
      <c r="T8" s="266">
        <f t="shared" si="3"/>
        <v>-105.54233361664483</v>
      </c>
      <c r="V8" s="86" t="s">
        <v>29</v>
      </c>
      <c r="W8" s="87">
        <f>-SUM(D39:D42)</f>
        <v>57124646.079999998</v>
      </c>
      <c r="X8" s="264">
        <f t="shared" ref="X8" si="4">W8/$X$14</f>
        <v>6.2287580266604983E-2</v>
      </c>
      <c r="AC8" s="86" t="s">
        <v>34</v>
      </c>
      <c r="AD8" s="87">
        <f>-SUM(F36:F37)</f>
        <v>91413184.61592415</v>
      </c>
      <c r="AE8" s="86">
        <f>AD8/$X$14</f>
        <v>9.9675122121830675E-2</v>
      </c>
    </row>
    <row r="9" spans="1:31" x14ac:dyDescent="0.4">
      <c r="B9" s="90" t="s">
        <v>35</v>
      </c>
      <c r="C9" s="151" t="s">
        <v>18</v>
      </c>
      <c r="D9" s="232"/>
      <c r="E9" s="94"/>
      <c r="F9" s="90" t="s">
        <v>36</v>
      </c>
      <c r="G9" s="151" t="s">
        <v>32</v>
      </c>
      <c r="H9" s="247">
        <v>1</v>
      </c>
      <c r="I9" s="99"/>
      <c r="J9" s="90" t="s">
        <v>37</v>
      </c>
      <c r="K9" s="151"/>
      <c r="L9" s="94">
        <v>10913000</v>
      </c>
      <c r="N9" s="85" t="s">
        <v>38</v>
      </c>
      <c r="O9" s="266">
        <f t="shared" ref="O9:T9" si="5">(D39+D40+D42+D41)/1000000</f>
        <v>-57.124646079999998</v>
      </c>
      <c r="P9" s="266">
        <f t="shared" si="5"/>
        <v>-54.75594292495559</v>
      </c>
      <c r="Q9" s="266">
        <f t="shared" si="5"/>
        <v>-55.792095970732809</v>
      </c>
      <c r="R9" s="266">
        <f t="shared" si="5"/>
        <v>-57.116038094819025</v>
      </c>
      <c r="S9" s="266">
        <f t="shared" si="5"/>
        <v>-61.337590663265658</v>
      </c>
      <c r="T9" s="266">
        <f t="shared" si="5"/>
        <v>-66.999799774719236</v>
      </c>
      <c r="V9" s="86" t="s">
        <v>34</v>
      </c>
      <c r="W9" s="87">
        <f>-SUM(D36:D37)</f>
        <v>80722000</v>
      </c>
      <c r="X9" s="264">
        <f>W9/$X$14</f>
        <v>8.8017666616953288E-2</v>
      </c>
      <c r="AC9" s="86" t="s">
        <v>39</v>
      </c>
      <c r="AD9" s="147">
        <f ca="1">-SUM(F63:F64)</f>
        <v>508542937.56853259</v>
      </c>
    </row>
    <row r="10" spans="1:31" ht="16" customHeight="1" x14ac:dyDescent="0.4">
      <c r="B10" s="90" t="s">
        <v>40</v>
      </c>
      <c r="C10" s="151" t="s">
        <v>41</v>
      </c>
      <c r="D10" s="87">
        <f>D8/D5</f>
        <v>2915155.9100797679</v>
      </c>
      <c r="E10" s="147"/>
      <c r="F10" s="90" t="s">
        <v>42</v>
      </c>
      <c r="G10" s="151" t="s">
        <v>32</v>
      </c>
      <c r="H10" s="247">
        <v>0.35</v>
      </c>
      <c r="I10" s="99"/>
      <c r="J10" s="90"/>
      <c r="K10" s="233" t="s">
        <v>26</v>
      </c>
      <c r="L10" s="94">
        <f>20000000*1.19</f>
        <v>23800000</v>
      </c>
      <c r="M10" s="84"/>
      <c r="N10" s="85" t="s">
        <v>43</v>
      </c>
      <c r="O10" s="266">
        <f t="shared" ref="O10:T10" si="6">D43/1000000</f>
        <v>809.02203392000013</v>
      </c>
      <c r="P10" s="266">
        <f t="shared" si="6"/>
        <v>759.48577582856194</v>
      </c>
      <c r="Q10" s="266">
        <f t="shared" si="6"/>
        <v>766.82589746214319</v>
      </c>
      <c r="R10" s="266">
        <f t="shared" si="6"/>
        <v>780.5449192620473</v>
      </c>
      <c r="S10" s="266">
        <f t="shared" si="6"/>
        <v>842.68366188138316</v>
      </c>
      <c r="T10" s="266">
        <f t="shared" si="6"/>
        <v>928.66097117951506</v>
      </c>
      <c r="V10" s="86" t="s">
        <v>44</v>
      </c>
      <c r="W10" s="147">
        <f>D63+D64</f>
        <v>-193023090.7389532</v>
      </c>
    </row>
    <row r="11" spans="1:31" ht="17.25" customHeight="1" x14ac:dyDescent="0.4">
      <c r="B11" s="90" t="s">
        <v>45</v>
      </c>
      <c r="C11" s="151" t="s">
        <v>26</v>
      </c>
      <c r="D11" s="94">
        <f>65000000</f>
        <v>65000000</v>
      </c>
      <c r="F11" s="90" t="s">
        <v>46</v>
      </c>
      <c r="G11" s="151" t="s">
        <v>47</v>
      </c>
      <c r="H11" s="231">
        <v>6.0000000000000001E-3</v>
      </c>
      <c r="I11" s="99"/>
      <c r="J11" s="90" t="s">
        <v>48</v>
      </c>
      <c r="K11" s="151" t="s">
        <v>47</v>
      </c>
      <c r="L11" s="230">
        <v>4150</v>
      </c>
      <c r="M11" s="238"/>
      <c r="N11" s="85" t="s">
        <v>133</v>
      </c>
      <c r="O11" s="266">
        <f>D47/1000000</f>
        <v>469</v>
      </c>
      <c r="P11" s="266">
        <f t="shared" ref="P11:T11" si="7">E47/1000000</f>
        <v>469</v>
      </c>
      <c r="Q11" s="266">
        <f t="shared" si="7"/>
        <v>469</v>
      </c>
      <c r="R11" s="266">
        <f t="shared" si="7"/>
        <v>0</v>
      </c>
      <c r="S11" s="266">
        <f t="shared" si="7"/>
        <v>0</v>
      </c>
      <c r="T11" s="266">
        <f t="shared" si="7"/>
        <v>0</v>
      </c>
      <c r="X11" s="99">
        <f>W7/2270000000</f>
        <v>-9.4977810622628361E-2</v>
      </c>
    </row>
    <row r="12" spans="1:31" ht="17.25" customHeight="1" x14ac:dyDescent="0.4">
      <c r="B12" s="90"/>
      <c r="C12" s="151"/>
      <c r="D12" s="94"/>
      <c r="E12" s="113"/>
      <c r="F12" s="90" t="s">
        <v>49</v>
      </c>
      <c r="G12" s="151" t="s">
        <v>32</v>
      </c>
      <c r="H12" s="249">
        <v>0.15</v>
      </c>
      <c r="I12" s="99"/>
      <c r="J12" s="90" t="s">
        <v>50</v>
      </c>
      <c r="K12" s="151" t="s">
        <v>32</v>
      </c>
      <c r="L12" s="243" t="str">
        <f>H17</f>
        <v>N/A</v>
      </c>
      <c r="M12" s="114"/>
      <c r="N12" s="85" t="s">
        <v>89</v>
      </c>
      <c r="O12" s="266">
        <f>D48/1000000</f>
        <v>0</v>
      </c>
      <c r="P12" s="266">
        <f t="shared" ref="P12:T12" si="8">E48/1000000</f>
        <v>703.5</v>
      </c>
      <c r="Q12" s="266">
        <f t="shared" si="8"/>
        <v>0</v>
      </c>
      <c r="R12" s="266">
        <f t="shared" si="8"/>
        <v>0</v>
      </c>
      <c r="S12" s="266">
        <f t="shared" si="8"/>
        <v>0</v>
      </c>
      <c r="T12" s="266">
        <f t="shared" si="8"/>
        <v>0</v>
      </c>
    </row>
    <row r="13" spans="1:31" x14ac:dyDescent="0.4">
      <c r="B13" s="90" t="s">
        <v>52</v>
      </c>
      <c r="C13" s="233" t="s">
        <v>53</v>
      </c>
      <c r="D13" s="247">
        <v>0.05</v>
      </c>
      <c r="E13" s="113"/>
      <c r="F13" s="90" t="s">
        <v>48</v>
      </c>
      <c r="G13" s="151" t="s">
        <v>47</v>
      </c>
      <c r="H13" s="230">
        <v>4100</v>
      </c>
      <c r="I13" s="99"/>
      <c r="J13" s="90"/>
      <c r="K13" s="151"/>
      <c r="L13" s="243"/>
      <c r="N13" s="85" t="s">
        <v>21</v>
      </c>
      <c r="O13" s="266">
        <f>+(D61)/1000000</f>
        <v>994.86432204800008</v>
      </c>
      <c r="P13" s="266">
        <f t="shared" ref="P13:S13" si="9">+(E61)/1000000</f>
        <v>1666.1657552885652</v>
      </c>
      <c r="Q13" s="266">
        <f t="shared" si="9"/>
        <v>967.43683535039304</v>
      </c>
      <c r="R13" s="266">
        <f t="shared" si="9"/>
        <v>507.35420052033072</v>
      </c>
      <c r="S13" s="266">
        <f t="shared" si="9"/>
        <v>547.74438422289904</v>
      </c>
      <c r="T13" s="266">
        <f ca="1">+(I66)/1000000</f>
        <v>119.33553957482307</v>
      </c>
    </row>
    <row r="14" spans="1:31" x14ac:dyDescent="0.4">
      <c r="B14" s="90" t="s">
        <v>55</v>
      </c>
      <c r="C14" s="233" t="s">
        <v>56</v>
      </c>
      <c r="D14" s="94">
        <f>7</f>
        <v>7</v>
      </c>
      <c r="E14" s="246"/>
      <c r="F14" s="90" t="s">
        <v>57</v>
      </c>
      <c r="G14" s="151" t="s">
        <v>32</v>
      </c>
      <c r="H14" s="231">
        <v>0.14099999999999999</v>
      </c>
      <c r="I14" s="99"/>
      <c r="J14" s="90"/>
      <c r="K14" s="151"/>
      <c r="L14" s="243"/>
      <c r="N14" s="85"/>
      <c r="O14" s="266"/>
      <c r="P14" s="266"/>
      <c r="Q14" s="266"/>
      <c r="R14" s="266"/>
      <c r="S14" s="266"/>
      <c r="T14" s="266"/>
      <c r="X14" s="147">
        <f>SUM(W6:W9)</f>
        <v>917111338.01463377</v>
      </c>
    </row>
    <row r="15" spans="1:31" ht="15.9" x14ac:dyDescent="0.45">
      <c r="B15" s="90" t="s">
        <v>59</v>
      </c>
      <c r="C15" s="151" t="s">
        <v>18</v>
      </c>
      <c r="D15" s="232">
        <f>122000000*E7</f>
        <v>122000000</v>
      </c>
      <c r="I15" s="99"/>
      <c r="J15" s="90" t="s">
        <v>60</v>
      </c>
      <c r="N15"/>
      <c r="O15"/>
      <c r="X15" s="86">
        <f>W6/X14</f>
        <v>1.0847803105364353</v>
      </c>
    </row>
    <row r="16" spans="1:31" ht="15" thickBot="1" x14ac:dyDescent="0.45">
      <c r="B16" s="90" t="s">
        <v>61</v>
      </c>
      <c r="C16" s="151" t="s">
        <v>62</v>
      </c>
      <c r="D16" s="94">
        <f>0.5%*H6</f>
        <v>20100000</v>
      </c>
      <c r="F16" s="98" t="s">
        <v>63</v>
      </c>
      <c r="G16" s="98"/>
      <c r="H16" s="98"/>
      <c r="I16" s="99"/>
      <c r="K16" s="114"/>
      <c r="L16" s="114"/>
      <c r="M16" s="114" t="s">
        <v>64</v>
      </c>
      <c r="N16" s="85" t="s">
        <v>65</v>
      </c>
      <c r="O16" s="258">
        <f>D8</f>
        <v>4020000000</v>
      </c>
      <c r="X16" s="86">
        <f>W9/X14</f>
        <v>8.8017666616953288E-2</v>
      </c>
    </row>
    <row r="17" spans="1:33" ht="15" thickBot="1" x14ac:dyDescent="0.45">
      <c r="B17" s="347" t="s">
        <v>66</v>
      </c>
      <c r="C17" s="347"/>
      <c r="D17" s="347"/>
      <c r="F17" s="85" t="s">
        <v>67</v>
      </c>
      <c r="G17" s="119" t="s">
        <v>32</v>
      </c>
      <c r="H17" s="234" t="str">
        <f>IF(D19="No",IRR(C61:AG61),"N/A")</f>
        <v>N/A</v>
      </c>
      <c r="I17" s="238"/>
      <c r="N17" s="85" t="s">
        <v>68</v>
      </c>
      <c r="O17" s="262" t="str">
        <f>H17</f>
        <v>N/A</v>
      </c>
      <c r="Q17" s="261"/>
    </row>
    <row r="18" spans="1:33" x14ac:dyDescent="0.4">
      <c r="B18" s="90" t="s">
        <v>69</v>
      </c>
      <c r="C18" s="151"/>
      <c r="D18" s="95">
        <v>7</v>
      </c>
      <c r="F18" s="85" t="s">
        <v>70</v>
      </c>
      <c r="G18" s="153" t="s">
        <v>18</v>
      </c>
      <c r="H18" s="235" t="str">
        <f>IF(D19="No",NPV(H14,D61:AG61)+C61,"N/A")</f>
        <v>N/A</v>
      </c>
      <c r="N18" s="85"/>
      <c r="O18" s="263"/>
    </row>
    <row r="19" spans="1:33" x14ac:dyDescent="0.4">
      <c r="B19" s="90" t="s">
        <v>71</v>
      </c>
      <c r="C19" s="151" t="s">
        <v>72</v>
      </c>
      <c r="D19" s="152" t="s">
        <v>79</v>
      </c>
      <c r="F19" s="85" t="s">
        <v>74</v>
      </c>
      <c r="G19" s="119" t="s">
        <v>32</v>
      </c>
      <c r="H19" s="234">
        <f ca="1">IF(D19="Si",IRR(C66:AG66),"N/A")</f>
        <v>0.60108213526261522</v>
      </c>
      <c r="N19" s="85"/>
      <c r="O19" s="262"/>
    </row>
    <row r="20" spans="1:33" x14ac:dyDescent="0.4">
      <c r="B20" s="90" t="s">
        <v>75</v>
      </c>
      <c r="C20" s="151" t="s">
        <v>32</v>
      </c>
      <c r="D20" s="96">
        <v>0.06</v>
      </c>
      <c r="F20" s="85" t="s">
        <v>76</v>
      </c>
      <c r="G20" s="119" t="s">
        <v>18</v>
      </c>
      <c r="H20" s="235">
        <f ca="1">IF(D19="Si",NPV(12%,D66:AG66)+C66,"N/A")</f>
        <v>3293412638.8269272</v>
      </c>
      <c r="N20" s="85"/>
      <c r="O20" s="259"/>
    </row>
    <row r="21" spans="1:33" x14ac:dyDescent="0.4">
      <c r="B21" s="90" t="s">
        <v>60</v>
      </c>
      <c r="C21" s="151" t="s">
        <v>18</v>
      </c>
      <c r="D21" s="148">
        <f>+D8*70%</f>
        <v>2814000000</v>
      </c>
      <c r="E21" s="87"/>
      <c r="F21" s="85" t="s">
        <v>77</v>
      </c>
      <c r="G21" s="119" t="s">
        <v>32</v>
      </c>
      <c r="N21" s="85"/>
      <c r="O21" s="260"/>
    </row>
    <row r="22" spans="1:33" x14ac:dyDescent="0.4">
      <c r="B22" s="90" t="s">
        <v>78</v>
      </c>
      <c r="C22" s="151" t="s">
        <v>72</v>
      </c>
      <c r="D22" s="152" t="s">
        <v>79</v>
      </c>
      <c r="E22" s="87"/>
      <c r="F22" s="85"/>
      <c r="G22" s="119"/>
      <c r="H22" s="235"/>
    </row>
    <row r="23" spans="1:33" ht="12" customHeight="1" x14ac:dyDescent="0.4">
      <c r="B23" s="85"/>
      <c r="C23" s="119"/>
      <c r="F23" s="85"/>
      <c r="G23" s="119"/>
      <c r="H23" s="239"/>
    </row>
    <row r="24" spans="1:33" ht="17.25" customHeight="1" thickBot="1" x14ac:dyDescent="0.5">
      <c r="B24" s="142" t="s">
        <v>81</v>
      </c>
      <c r="C24" s="154"/>
      <c r="D24" s="155">
        <v>7.0000000000000007E-2</v>
      </c>
      <c r="E24" s="155">
        <v>0.05</v>
      </c>
      <c r="F24" s="155">
        <v>0.05</v>
      </c>
      <c r="G24" s="155">
        <v>0.05</v>
      </c>
      <c r="H24" s="155">
        <v>0.05</v>
      </c>
      <c r="I24" s="155">
        <v>0.05</v>
      </c>
      <c r="J24" s="155">
        <v>0.05</v>
      </c>
      <c r="K24" s="155">
        <v>0.05</v>
      </c>
      <c r="L24" s="155">
        <v>0.05</v>
      </c>
      <c r="M24" s="155">
        <v>0.05</v>
      </c>
      <c r="N24" s="155">
        <v>0.05</v>
      </c>
      <c r="O24" s="155">
        <v>0.05</v>
      </c>
      <c r="P24" s="155">
        <v>0.05</v>
      </c>
      <c r="Q24" s="155">
        <v>0.05</v>
      </c>
      <c r="R24" s="155">
        <v>0.05</v>
      </c>
      <c r="S24" s="155">
        <v>0.05</v>
      </c>
      <c r="T24" s="155">
        <v>0.05</v>
      </c>
      <c r="U24" s="155">
        <v>0.05</v>
      </c>
      <c r="V24" s="155">
        <v>0.05</v>
      </c>
      <c r="W24" s="155">
        <v>0.05</v>
      </c>
      <c r="X24" s="155">
        <v>0.05</v>
      </c>
      <c r="Y24" s="155">
        <v>0.05</v>
      </c>
      <c r="Z24" s="155">
        <v>0.05</v>
      </c>
      <c r="AA24" s="155">
        <v>0.05</v>
      </c>
      <c r="AB24" s="155">
        <v>0.05</v>
      </c>
      <c r="AC24" s="155">
        <v>0.05</v>
      </c>
      <c r="AD24" s="155">
        <v>0.05</v>
      </c>
      <c r="AE24" s="155">
        <v>0.05</v>
      </c>
      <c r="AF24" s="155">
        <v>0.05</v>
      </c>
      <c r="AG24" s="155">
        <v>0.05</v>
      </c>
    </row>
    <row r="25" spans="1:33" ht="12" customHeight="1" x14ac:dyDescent="0.4">
      <c r="B25" s="85" t="s">
        <v>82</v>
      </c>
      <c r="C25" s="84"/>
      <c r="D25" s="227">
        <f>(1+D24)</f>
        <v>1.07</v>
      </c>
      <c r="E25" s="227">
        <f>D25*(1+E24)</f>
        <v>1.1235000000000002</v>
      </c>
      <c r="F25" s="227">
        <f t="shared" ref="F25:AG25" si="10">E25*(1+F24)</f>
        <v>1.1796750000000003</v>
      </c>
      <c r="G25" s="227">
        <f t="shared" si="10"/>
        <v>1.2386587500000004</v>
      </c>
      <c r="H25" s="227">
        <f t="shared" si="10"/>
        <v>1.3005916875000005</v>
      </c>
      <c r="I25" s="227">
        <f t="shared" si="10"/>
        <v>1.3656212718750007</v>
      </c>
      <c r="J25" s="227">
        <f>I25*(1+J24)</f>
        <v>1.4339023354687508</v>
      </c>
      <c r="K25" s="227">
        <f t="shared" si="10"/>
        <v>1.5055974522421884</v>
      </c>
      <c r="L25" s="227">
        <f t="shared" si="10"/>
        <v>1.580877324854298</v>
      </c>
      <c r="M25" s="227">
        <f t="shared" si="10"/>
        <v>1.6599211910970129</v>
      </c>
      <c r="N25" s="227">
        <f>M25*(1+N24)</f>
        <v>1.7429172506518635</v>
      </c>
      <c r="O25" s="227">
        <f t="shared" si="10"/>
        <v>1.8300631131844567</v>
      </c>
      <c r="P25" s="227">
        <f>O25*(1+P24)</f>
        <v>1.9215662688436796</v>
      </c>
      <c r="Q25" s="227">
        <f t="shared" si="10"/>
        <v>2.0176445822858637</v>
      </c>
      <c r="R25" s="227">
        <f t="shared" si="10"/>
        <v>2.118526811400157</v>
      </c>
      <c r="S25" s="227">
        <f t="shared" si="10"/>
        <v>2.2244531519701649</v>
      </c>
      <c r="T25" s="227">
        <f>S25*(1+T24)</f>
        <v>2.3356758095686732</v>
      </c>
      <c r="U25" s="227">
        <f>T25*(1+U24)</f>
        <v>2.4524596000471068</v>
      </c>
      <c r="V25" s="227">
        <f t="shared" si="10"/>
        <v>2.5750825800494623</v>
      </c>
      <c r="W25" s="227">
        <f t="shared" si="10"/>
        <v>2.7038367090519357</v>
      </c>
      <c r="X25" s="227">
        <f t="shared" si="10"/>
        <v>2.8390285445045325</v>
      </c>
      <c r="Y25" s="227">
        <f>X25*(1+Y24)</f>
        <v>2.9809799717297594</v>
      </c>
      <c r="Z25" s="227">
        <f t="shared" si="10"/>
        <v>3.1300289703162476</v>
      </c>
      <c r="AA25" s="227">
        <f t="shared" si="10"/>
        <v>3.2865304188320601</v>
      </c>
      <c r="AB25" s="227">
        <f t="shared" si="10"/>
        <v>3.4508569397736633</v>
      </c>
      <c r="AC25" s="227">
        <f t="shared" si="10"/>
        <v>3.6233997867623464</v>
      </c>
      <c r="AD25" s="227">
        <f t="shared" si="10"/>
        <v>3.8045697761004638</v>
      </c>
      <c r="AE25" s="227">
        <f t="shared" si="10"/>
        <v>3.9947982649054872</v>
      </c>
      <c r="AF25" s="227">
        <f t="shared" si="10"/>
        <v>4.1945381781507614</v>
      </c>
      <c r="AG25" s="227">
        <f t="shared" si="10"/>
        <v>4.4042650870582998</v>
      </c>
    </row>
    <row r="26" spans="1:33" ht="14.25" customHeight="1" x14ac:dyDescent="0.4">
      <c r="B26" s="85" t="s">
        <v>83</v>
      </c>
      <c r="C26" s="84"/>
      <c r="D26" s="228">
        <v>359</v>
      </c>
      <c r="E26" s="228">
        <v>323</v>
      </c>
      <c r="F26" s="228">
        <v>313</v>
      </c>
      <c r="G26" s="228">
        <v>340</v>
      </c>
      <c r="H26" s="228">
        <v>350</v>
      </c>
      <c r="I26" s="228">
        <v>367</v>
      </c>
      <c r="J26" s="228">
        <v>338</v>
      </c>
      <c r="K26" s="228">
        <v>291</v>
      </c>
      <c r="L26" s="228">
        <v>250</v>
      </c>
      <c r="M26" s="228">
        <v>282</v>
      </c>
      <c r="N26" s="228">
        <v>301</v>
      </c>
      <c r="O26" s="228">
        <v>322</v>
      </c>
      <c r="P26" s="228">
        <v>292</v>
      </c>
      <c r="Q26" s="228">
        <v>314</v>
      </c>
      <c r="R26" s="228">
        <v>280</v>
      </c>
      <c r="S26" s="228">
        <v>326</v>
      </c>
      <c r="T26" s="228">
        <v>294</v>
      </c>
      <c r="U26" s="228">
        <v>306</v>
      </c>
      <c r="V26" s="228">
        <v>311</v>
      </c>
      <c r="W26" s="228">
        <v>311</v>
      </c>
      <c r="X26" s="228">
        <v>287</v>
      </c>
      <c r="Y26" s="228">
        <v>294</v>
      </c>
      <c r="Z26" s="228">
        <v>305</v>
      </c>
      <c r="AA26" s="228">
        <v>304</v>
      </c>
      <c r="AB26" s="228">
        <v>276</v>
      </c>
      <c r="AC26" s="228">
        <v>282</v>
      </c>
      <c r="AD26" s="228">
        <v>300</v>
      </c>
      <c r="AE26" s="228">
        <v>300</v>
      </c>
      <c r="AF26" s="228">
        <v>300</v>
      </c>
      <c r="AG26" s="228">
        <v>300</v>
      </c>
    </row>
    <row r="27" spans="1:33" s="100" customFormat="1" ht="16.3" thickBot="1" x14ac:dyDescent="0.5">
      <c r="A27" s="86"/>
      <c r="B27" s="142" t="s">
        <v>84</v>
      </c>
      <c r="C27" s="143"/>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row>
    <row r="28" spans="1:33" s="100" customFormat="1" ht="15.9" x14ac:dyDescent="0.45">
      <c r="A28" s="86"/>
      <c r="B28" s="101" t="s">
        <v>85</v>
      </c>
      <c r="C28" s="100">
        <v>0</v>
      </c>
      <c r="D28" s="100">
        <v>1</v>
      </c>
      <c r="E28" s="100">
        <v>2</v>
      </c>
      <c r="F28" s="100">
        <v>3</v>
      </c>
      <c r="G28" s="100">
        <v>4</v>
      </c>
      <c r="H28" s="100">
        <v>5</v>
      </c>
      <c r="I28" s="100">
        <v>6</v>
      </c>
      <c r="J28" s="100">
        <v>7</v>
      </c>
      <c r="K28" s="100">
        <v>8</v>
      </c>
      <c r="L28" s="100">
        <v>9</v>
      </c>
      <c r="M28" s="100">
        <v>10</v>
      </c>
      <c r="N28" s="100">
        <v>11</v>
      </c>
      <c r="O28" s="100">
        <v>12</v>
      </c>
      <c r="P28" s="100">
        <v>13</v>
      </c>
      <c r="Q28" s="100">
        <v>14</v>
      </c>
      <c r="R28" s="100">
        <v>15</v>
      </c>
      <c r="S28" s="100">
        <v>16</v>
      </c>
      <c r="T28" s="100">
        <v>17</v>
      </c>
      <c r="U28" s="100">
        <v>18</v>
      </c>
      <c r="V28" s="100">
        <v>19</v>
      </c>
      <c r="W28" s="100">
        <v>20</v>
      </c>
      <c r="X28" s="100">
        <v>21</v>
      </c>
      <c r="Y28" s="100">
        <v>22</v>
      </c>
      <c r="Z28" s="100">
        <v>23</v>
      </c>
      <c r="AA28" s="100">
        <v>24</v>
      </c>
      <c r="AB28" s="100">
        <v>25</v>
      </c>
      <c r="AC28" s="100">
        <v>26</v>
      </c>
      <c r="AD28" s="100">
        <v>27</v>
      </c>
      <c r="AE28" s="100">
        <v>28</v>
      </c>
      <c r="AF28" s="100">
        <v>29</v>
      </c>
      <c r="AG28" s="100">
        <v>30</v>
      </c>
    </row>
    <row r="29" spans="1:33" ht="15.9" x14ac:dyDescent="0.45">
      <c r="B29" s="86" t="s">
        <v>86</v>
      </c>
      <c r="C29" s="102">
        <f>-D8-D9</f>
        <v>-4020000000</v>
      </c>
      <c r="D29" s="102"/>
      <c r="E29" s="102"/>
      <c r="F29" s="102"/>
      <c r="G29" s="102"/>
      <c r="H29" s="102"/>
      <c r="I29" s="102"/>
      <c r="J29" s="102"/>
      <c r="K29" s="102"/>
      <c r="L29" s="102"/>
      <c r="M29" s="102">
        <f>-D15*(1+L24)^M28</f>
        <v>-198725144.46684787</v>
      </c>
      <c r="N29" s="102"/>
      <c r="O29" s="102"/>
      <c r="P29" s="102"/>
      <c r="Q29" s="102"/>
      <c r="R29" s="102"/>
      <c r="S29" s="102"/>
      <c r="T29" s="102"/>
      <c r="U29" s="102"/>
      <c r="V29" s="102"/>
      <c r="W29" s="102">
        <f>-D15*(1+V24)^W28</f>
        <v>-323702320.02761936</v>
      </c>
      <c r="X29" s="102"/>
      <c r="Y29" s="102"/>
      <c r="Z29" s="102"/>
      <c r="AA29" s="102"/>
      <c r="AB29" s="102"/>
      <c r="AC29" s="102"/>
      <c r="AD29" s="102"/>
      <c r="AE29" s="102"/>
      <c r="AF29" s="102"/>
      <c r="AG29" s="102"/>
    </row>
    <row r="30" spans="1:33" ht="15.9" x14ac:dyDescent="0.45">
      <c r="B30" s="110"/>
      <c r="C30" s="103"/>
      <c r="D30" s="105"/>
      <c r="E30" s="105"/>
      <c r="F30" s="105"/>
      <c r="G30" s="105"/>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row>
    <row r="31" spans="1:33" s="100" customFormat="1" ht="16" customHeight="1" thickBot="1" x14ac:dyDescent="0.5">
      <c r="B31" s="142" t="s">
        <v>93</v>
      </c>
      <c r="C31" s="143"/>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row>
    <row r="32" spans="1:33" s="100" customFormat="1" ht="16" customHeight="1" x14ac:dyDescent="0.45">
      <c r="B32" s="101" t="s">
        <v>85</v>
      </c>
      <c r="C32" s="100">
        <v>0</v>
      </c>
      <c r="D32" s="100">
        <v>1</v>
      </c>
      <c r="E32" s="100">
        <v>2</v>
      </c>
      <c r="F32" s="100">
        <v>3</v>
      </c>
      <c r="G32" s="100">
        <v>4</v>
      </c>
      <c r="H32" s="100">
        <v>5</v>
      </c>
      <c r="I32" s="100">
        <v>6</v>
      </c>
      <c r="J32" s="100">
        <v>7</v>
      </c>
      <c r="K32" s="100">
        <v>8</v>
      </c>
      <c r="L32" s="100">
        <v>9</v>
      </c>
      <c r="M32" s="100">
        <v>10</v>
      </c>
      <c r="N32" s="100">
        <v>11</v>
      </c>
      <c r="O32" s="100">
        <v>12</v>
      </c>
      <c r="P32" s="100">
        <v>13</v>
      </c>
      <c r="Q32" s="100">
        <v>14</v>
      </c>
      <c r="R32" s="100">
        <v>15</v>
      </c>
      <c r="S32" s="100">
        <v>16</v>
      </c>
      <c r="T32" s="100">
        <v>17</v>
      </c>
      <c r="U32" s="100">
        <v>18</v>
      </c>
      <c r="V32" s="100">
        <v>19</v>
      </c>
      <c r="W32" s="100">
        <v>20</v>
      </c>
      <c r="X32" s="100">
        <v>21</v>
      </c>
      <c r="Y32" s="100">
        <v>22</v>
      </c>
      <c r="Z32" s="100">
        <v>23</v>
      </c>
      <c r="AA32" s="100">
        <v>24</v>
      </c>
      <c r="AB32" s="100">
        <v>25</v>
      </c>
      <c r="AC32" s="100">
        <v>26</v>
      </c>
      <c r="AD32" s="100">
        <v>27</v>
      </c>
      <c r="AE32" s="100">
        <v>28</v>
      </c>
      <c r="AF32" s="100">
        <v>29</v>
      </c>
      <c r="AG32" s="100">
        <v>30</v>
      </c>
    </row>
    <row r="33" spans="2:37" s="103" customFormat="1" ht="16" customHeight="1" x14ac:dyDescent="0.45">
      <c r="B33" s="104" t="s">
        <v>94</v>
      </c>
      <c r="D33" s="105">
        <f>D6</f>
        <v>2246000</v>
      </c>
      <c r="E33" s="106">
        <f>D33-$H$5</f>
        <v>2236241.5172413792</v>
      </c>
      <c r="F33" s="106">
        <f t="shared" ref="F33:AG33" si="11">E33-$H$5</f>
        <v>2226483.0344827585</v>
      </c>
      <c r="G33" s="106">
        <f t="shared" si="11"/>
        <v>2216724.5517241377</v>
      </c>
      <c r="H33" s="106">
        <f t="shared" si="11"/>
        <v>2206966.068965517</v>
      </c>
      <c r="I33" s="106">
        <f t="shared" si="11"/>
        <v>2197207.5862068962</v>
      </c>
      <c r="J33" s="106">
        <f t="shared" si="11"/>
        <v>2187449.1034482755</v>
      </c>
      <c r="K33" s="106">
        <f t="shared" si="11"/>
        <v>2177690.6206896547</v>
      </c>
      <c r="L33" s="106">
        <f t="shared" si="11"/>
        <v>2167932.137931034</v>
      </c>
      <c r="M33" s="106">
        <f t="shared" si="11"/>
        <v>2158173.6551724132</v>
      </c>
      <c r="N33" s="106">
        <f>M33-$H$5</f>
        <v>2148415.1724137925</v>
      </c>
      <c r="O33" s="106">
        <f t="shared" si="11"/>
        <v>2138656.6896551717</v>
      </c>
      <c r="P33" s="106">
        <f>O33-$H$5</f>
        <v>2128898.206896551</v>
      </c>
      <c r="Q33" s="106">
        <f t="shared" si="11"/>
        <v>2119139.7241379302</v>
      </c>
      <c r="R33" s="106">
        <f t="shared" si="11"/>
        <v>2109381.2413793094</v>
      </c>
      <c r="S33" s="106">
        <f t="shared" si="11"/>
        <v>2099622.7586206887</v>
      </c>
      <c r="T33" s="106">
        <f>S33-$H$5</f>
        <v>2089864.2758620679</v>
      </c>
      <c r="U33" s="106">
        <f>T33-$H$5</f>
        <v>2080105.7931034472</v>
      </c>
      <c r="V33" s="106">
        <f t="shared" si="11"/>
        <v>2070347.3103448264</v>
      </c>
      <c r="W33" s="106">
        <f t="shared" si="11"/>
        <v>2060588.8275862057</v>
      </c>
      <c r="X33" s="106">
        <f t="shared" si="11"/>
        <v>2050830.3448275849</v>
      </c>
      <c r="Y33" s="106">
        <f>X33-$H$5</f>
        <v>2041071.8620689642</v>
      </c>
      <c r="Z33" s="106">
        <f t="shared" si="11"/>
        <v>2031313.3793103434</v>
      </c>
      <c r="AA33" s="106">
        <f t="shared" si="11"/>
        <v>2021554.8965517227</v>
      </c>
      <c r="AB33" s="106">
        <f t="shared" si="11"/>
        <v>2011796.4137931019</v>
      </c>
      <c r="AC33" s="106">
        <f t="shared" si="11"/>
        <v>2002037.9310344812</v>
      </c>
      <c r="AD33" s="106">
        <f t="shared" si="11"/>
        <v>1992279.4482758604</v>
      </c>
      <c r="AE33" s="106">
        <f t="shared" si="11"/>
        <v>1982520.9655172396</v>
      </c>
      <c r="AF33" s="106">
        <f t="shared" si="11"/>
        <v>1972762.4827586189</v>
      </c>
      <c r="AG33" s="106">
        <f t="shared" si="11"/>
        <v>1963003.9999999981</v>
      </c>
    </row>
    <row r="34" spans="2:37" s="103" customFormat="1" ht="16" customHeight="1" x14ac:dyDescent="0.45">
      <c r="B34" s="104" t="s">
        <v>95</v>
      </c>
      <c r="C34" s="107"/>
      <c r="D34" s="108">
        <f>(D26+35)*D25</f>
        <v>421.58000000000004</v>
      </c>
      <c r="E34" s="108">
        <f>(E26+35)*E25</f>
        <v>402.21300000000008</v>
      </c>
      <c r="F34" s="108">
        <f>(F26+35)*F25</f>
        <v>410.52690000000007</v>
      </c>
      <c r="G34" s="108">
        <f t="shared" ref="G34:AG34" si="12">G26*G25</f>
        <v>421.14397500000013</v>
      </c>
      <c r="H34" s="108">
        <f t="shared" si="12"/>
        <v>455.20709062500021</v>
      </c>
      <c r="I34" s="108">
        <f t="shared" si="12"/>
        <v>501.18300677812528</v>
      </c>
      <c r="J34" s="108">
        <f t="shared" si="12"/>
        <v>484.65898938843776</v>
      </c>
      <c r="K34" s="108">
        <f t="shared" si="12"/>
        <v>438.12885860247684</v>
      </c>
      <c r="L34" s="108">
        <f t="shared" si="12"/>
        <v>395.21933121357449</v>
      </c>
      <c r="M34" s="108">
        <f t="shared" si="12"/>
        <v>468.09777588935765</v>
      </c>
      <c r="N34" s="108">
        <f t="shared" si="12"/>
        <v>524.61809244621088</v>
      </c>
      <c r="O34" s="108">
        <f t="shared" si="12"/>
        <v>589.28032244539509</v>
      </c>
      <c r="P34" s="108">
        <f t="shared" si="12"/>
        <v>561.0973505023544</v>
      </c>
      <c r="Q34" s="108">
        <f t="shared" si="12"/>
        <v>633.54039883776124</v>
      </c>
      <c r="R34" s="108">
        <f t="shared" si="12"/>
        <v>593.187507192044</v>
      </c>
      <c r="S34" s="108">
        <f t="shared" si="12"/>
        <v>725.17172754227374</v>
      </c>
      <c r="T34" s="108">
        <f t="shared" si="12"/>
        <v>686.6886880131899</v>
      </c>
      <c r="U34" s="108">
        <f t="shared" si="12"/>
        <v>750.4526376144147</v>
      </c>
      <c r="V34" s="108">
        <f t="shared" si="12"/>
        <v>800.85068239538282</v>
      </c>
      <c r="W34" s="108">
        <f t="shared" si="12"/>
        <v>840.89321651515206</v>
      </c>
      <c r="X34" s="108">
        <f t="shared" si="12"/>
        <v>814.80119227280079</v>
      </c>
      <c r="Y34" s="108">
        <f t="shared" si="12"/>
        <v>876.4081116885493</v>
      </c>
      <c r="Z34" s="108">
        <f t="shared" si="12"/>
        <v>954.6588359464555</v>
      </c>
      <c r="AA34" s="108">
        <f t="shared" si="12"/>
        <v>999.10524732494628</v>
      </c>
      <c r="AB34" s="108">
        <f t="shared" si="12"/>
        <v>952.43651537753101</v>
      </c>
      <c r="AC34" s="108">
        <f t="shared" si="12"/>
        <v>1021.7987398669817</v>
      </c>
      <c r="AD34" s="108">
        <f t="shared" si="12"/>
        <v>1141.3709328301391</v>
      </c>
      <c r="AE34" s="108">
        <f t="shared" si="12"/>
        <v>1198.4394794716461</v>
      </c>
      <c r="AF34" s="108">
        <f t="shared" si="12"/>
        <v>1258.3614534452283</v>
      </c>
      <c r="AG34" s="108">
        <f t="shared" si="12"/>
        <v>1321.2795261174899</v>
      </c>
    </row>
    <row r="35" spans="2:37" s="103" customFormat="1" ht="16" customHeight="1" x14ac:dyDescent="0.45">
      <c r="B35" s="104" t="s">
        <v>96</v>
      </c>
      <c r="D35" s="109">
        <f>D33*D34</f>
        <v>946868680.00000012</v>
      </c>
      <c r="E35" s="109">
        <f>E33*E34</f>
        <v>899445409.37420702</v>
      </c>
      <c r="F35" s="109">
        <f>F33*F34</f>
        <v>914031178.04880011</v>
      </c>
      <c r="G35" s="109">
        <f t="shared" ref="G35:X35" si="13">G33*G34</f>
        <v>933560189.19319677</v>
      </c>
      <c r="H35" s="109">
        <f t="shared" si="13"/>
        <v>1004626603.3618865</v>
      </c>
      <c r="I35" s="109">
        <f t="shared" si="13"/>
        <v>1101203104.5708792</v>
      </c>
      <c r="J35" s="109">
        <f t="shared" si="13"/>
        <v>1060166871.8158854</v>
      </c>
      <c r="K35" s="109">
        <f t="shared" si="13"/>
        <v>954109106.03207779</v>
      </c>
      <c r="L35" s="109">
        <f t="shared" si="13"/>
        <v>856808689.66951799</v>
      </c>
      <c r="M35" s="109">
        <f t="shared" si="13"/>
        <v>1010236287.9692122</v>
      </c>
      <c r="N35" s="109">
        <f t="shared" si="13"/>
        <v>1127097469.5342212</v>
      </c>
      <c r="O35" s="109">
        <f t="shared" si="13"/>
        <v>1260268303.6800008</v>
      </c>
      <c r="P35" s="109">
        <f t="shared" si="13"/>
        <v>1194519143.3788679</v>
      </c>
      <c r="Q35" s="109">
        <f t="shared" si="13"/>
        <v>1342560626.0232875</v>
      </c>
      <c r="R35" s="109">
        <f t="shared" si="13"/>
        <v>1251258600.2914519</v>
      </c>
      <c r="S35" s="109">
        <f t="shared" si="13"/>
        <v>1522587063.0560393</v>
      </c>
      <c r="T35" s="109">
        <f t="shared" si="13"/>
        <v>1435086157.7173586</v>
      </c>
      <c r="U35" s="109">
        <f t="shared" si="13"/>
        <v>1561020878.9515059</v>
      </c>
      <c r="V35" s="109">
        <f t="shared" si="13"/>
        <v>1658039056.2850997</v>
      </c>
      <c r="W35" s="109">
        <f t="shared" si="13"/>
        <v>1732735167.1441505</v>
      </c>
      <c r="X35" s="109">
        <f t="shared" si="13"/>
        <v>1671019010.1147554</v>
      </c>
      <c r="Y35" s="109">
        <f>Y33*Y34</f>
        <v>1788811936.4564919</v>
      </c>
      <c r="Z35" s="109">
        <f>Z33*Z34</f>
        <v>1939211266.1348732</v>
      </c>
      <c r="AA35" s="109">
        <f>AA33*AA34</f>
        <v>2019746104.900265</v>
      </c>
      <c r="AB35" s="109">
        <f>AB33*AB34</f>
        <v>1916108366.0021155</v>
      </c>
      <c r="AC35" s="109">
        <f t="shared" ref="AC35:AG35" si="14">AC33*AC34</f>
        <v>2045679835.0969319</v>
      </c>
      <c r="AD35" s="109">
        <f t="shared" si="14"/>
        <v>2273929852.3369336</v>
      </c>
      <c r="AE35" s="109">
        <f t="shared" si="14"/>
        <v>2375931393.9561057</v>
      </c>
      <c r="AF35" s="109">
        <f t="shared" si="14"/>
        <v>2482448265.1063528</v>
      </c>
      <c r="AG35" s="109">
        <f t="shared" si="14"/>
        <v>2593676994.886735</v>
      </c>
    </row>
    <row r="36" spans="2:37" s="103" customFormat="1" ht="16" customHeight="1" x14ac:dyDescent="0.45">
      <c r="B36" s="110" t="s">
        <v>97</v>
      </c>
      <c r="D36" s="105">
        <f>-D11</f>
        <v>-65000000</v>
      </c>
      <c r="E36" s="105">
        <f t="shared" ref="E36:AG36" si="15">D36+D36*D24</f>
        <v>-69550000</v>
      </c>
      <c r="F36" s="105">
        <f t="shared" si="15"/>
        <v>-73027500</v>
      </c>
      <c r="G36" s="105">
        <f t="shared" si="15"/>
        <v>-76678875</v>
      </c>
      <c r="H36" s="105">
        <f t="shared" si="15"/>
        <v>-80512818.75</v>
      </c>
      <c r="I36" s="105">
        <f t="shared" si="15"/>
        <v>-84538459.6875</v>
      </c>
      <c r="J36" s="105">
        <f t="shared" si="15"/>
        <v>-88765382.671875</v>
      </c>
      <c r="K36" s="105">
        <f t="shared" si="15"/>
        <v>-93203651.805468753</v>
      </c>
      <c r="L36" s="105">
        <f t="shared" si="15"/>
        <v>-97863834.395742193</v>
      </c>
      <c r="M36" s="105">
        <f t="shared" si="15"/>
        <v>-102757026.1155293</v>
      </c>
      <c r="N36" s="105">
        <f>M36+M36*M24</f>
        <v>-107894877.42130576</v>
      </c>
      <c r="O36" s="105">
        <f t="shared" si="15"/>
        <v>-113289621.29237105</v>
      </c>
      <c r="P36" s="105">
        <f t="shared" si="15"/>
        <v>-118954102.35698961</v>
      </c>
      <c r="Q36" s="105">
        <f t="shared" si="15"/>
        <v>-124901807.47483909</v>
      </c>
      <c r="R36" s="105">
        <f t="shared" si="15"/>
        <v>-131146897.84858105</v>
      </c>
      <c r="S36" s="105">
        <f t="shared" si="15"/>
        <v>-137704242.7410101</v>
      </c>
      <c r="T36" s="105">
        <f t="shared" si="15"/>
        <v>-144589454.87806061</v>
      </c>
      <c r="U36" s="105">
        <f>T36+T36*T24</f>
        <v>-151818927.62196365</v>
      </c>
      <c r="V36" s="105">
        <f t="shared" si="15"/>
        <v>-159409874.00306183</v>
      </c>
      <c r="W36" s="105">
        <f t="shared" si="15"/>
        <v>-167380367.70321491</v>
      </c>
      <c r="X36" s="105">
        <f t="shared" si="15"/>
        <v>-175749386.08837566</v>
      </c>
      <c r="Y36" s="105">
        <f t="shared" si="15"/>
        <v>-184536855.39279443</v>
      </c>
      <c r="Z36" s="105">
        <f t="shared" si="15"/>
        <v>-193763698.16243416</v>
      </c>
      <c r="AA36" s="105">
        <f t="shared" si="15"/>
        <v>-203451883.07055587</v>
      </c>
      <c r="AB36" s="105">
        <f t="shared" si="15"/>
        <v>-213624477.22408366</v>
      </c>
      <c r="AC36" s="105">
        <f t="shared" si="15"/>
        <v>-224305701.08528784</v>
      </c>
      <c r="AD36" s="105">
        <f t="shared" si="15"/>
        <v>-235520986.13955224</v>
      </c>
      <c r="AE36" s="105">
        <f t="shared" si="15"/>
        <v>-247297035.44652984</v>
      </c>
      <c r="AF36" s="105">
        <f t="shared" si="15"/>
        <v>-259661887.21885633</v>
      </c>
      <c r="AG36" s="105">
        <f t="shared" si="15"/>
        <v>-272644981.57979918</v>
      </c>
    </row>
    <row r="37" spans="2:37" s="103" customFormat="1" ht="16" customHeight="1" x14ac:dyDescent="0.45">
      <c r="B37" s="110" t="s">
        <v>98</v>
      </c>
      <c r="D37" s="105">
        <f>-$D$14*D33</f>
        <v>-15722000</v>
      </c>
      <c r="E37" s="105">
        <f>-$D$14*E33</f>
        <v>-15653690.620689655</v>
      </c>
      <c r="F37" s="105">
        <f t="shared" ref="F37:AG37" si="16">-$D$14*F33*F25</f>
        <v>-18385684.615924142</v>
      </c>
      <c r="G37" s="105">
        <f t="shared" si="16"/>
        <v>-19220356.836330522</v>
      </c>
      <c r="H37" s="105">
        <f t="shared" si="16"/>
        <v>-20092532.067237731</v>
      </c>
      <c r="I37" s="105">
        <f t="shared" si="16"/>
        <v>-21003873.929144833</v>
      </c>
      <c r="J37" s="105">
        <f t="shared" si="16"/>
        <v>-21956118.64707455</v>
      </c>
      <c r="K37" s="105">
        <f t="shared" si="16"/>
        <v>-22951078.15197438</v>
      </c>
      <c r="L37" s="105">
        <f t="shared" si="16"/>
        <v>-23990643.310746502</v>
      </c>
      <c r="M37" s="105">
        <f t="shared" si="16"/>
        <v>-25076787.290015902</v>
      </c>
      <c r="N37" s="105">
        <f t="shared" si="16"/>
        <v>-26211569.058935374</v>
      </c>
      <c r="O37" s="105">
        <f t="shared" si="16"/>
        <v>-27397137.036521755</v>
      </c>
      <c r="P37" s="105">
        <f t="shared" si="16"/>
        <v>-28635732.889219437</v>
      </c>
      <c r="Q37" s="105">
        <f t="shared" si="16"/>
        <v>-29929695.484595582</v>
      </c>
      <c r="R37" s="105">
        <f t="shared" si="16"/>
        <v>-31281465.007286292</v>
      </c>
      <c r="S37" s="105">
        <f t="shared" si="16"/>
        <v>-32693587.243534587</v>
      </c>
      <c r="T37" s="105">
        <f t="shared" si="16"/>
        <v>-34168718.040889494</v>
      </c>
      <c r="U37" s="105">
        <f t="shared" si="16"/>
        <v>-35709627.949871048</v>
      </c>
      <c r="V37" s="105">
        <f t="shared" si="16"/>
        <v>-37319207.054648541</v>
      </c>
      <c r="W37" s="105">
        <f t="shared" si="16"/>
        <v>-39000470.000029109</v>
      </c>
      <c r="X37" s="105">
        <f t="shared" si="16"/>
        <v>-40756561.222311109</v>
      </c>
      <c r="Y37" s="105">
        <f t="shared" si="16"/>
        <v>-42590760.391821235</v>
      </c>
      <c r="Z37" s="105">
        <f t="shared" si="16"/>
        <v>-44506488.075226597</v>
      </c>
      <c r="AA37" s="105">
        <f t="shared" si="16"/>
        <v>-46507311.625992946</v>
      </c>
      <c r="AB37" s="105">
        <f t="shared" si="16"/>
        <v>-48596951.311647855</v>
      </c>
      <c r="AC37" s="105">
        <f t="shared" si="16"/>
        <v>-50779286.686803274</v>
      </c>
      <c r="AD37" s="105">
        <f t="shared" si="16"/>
        <v>-53058363.221195117</v>
      </c>
      <c r="AE37" s="105">
        <f t="shared" si="16"/>
        <v>-55438399.192309141</v>
      </c>
      <c r="AF37" s="105">
        <f t="shared" si="16"/>
        <v>-57923792.852481574</v>
      </c>
      <c r="AG37" s="105">
        <f t="shared" si="16"/>
        <v>-60519129.880690478</v>
      </c>
    </row>
    <row r="38" spans="2:37" s="100" customFormat="1" ht="16" customHeight="1" x14ac:dyDescent="0.45">
      <c r="B38" s="101" t="s">
        <v>99</v>
      </c>
      <c r="D38" s="111">
        <f>D35+D36+D37</f>
        <v>866146680.00000012</v>
      </c>
      <c r="E38" s="111">
        <f>E35+E36+E37</f>
        <v>814241718.75351739</v>
      </c>
      <c r="F38" s="111">
        <f>F35+F36+F37</f>
        <v>822617993.43287599</v>
      </c>
      <c r="G38" s="111">
        <f>G35+G36+G37</f>
        <v>837660957.35686624</v>
      </c>
      <c r="H38" s="111">
        <f t="shared" ref="H38:X38" si="17">H35+H36+H37</f>
        <v>904021252.54464877</v>
      </c>
      <c r="I38" s="111">
        <f t="shared" si="17"/>
        <v>995660770.95423436</v>
      </c>
      <c r="J38" s="111">
        <f t="shared" si="17"/>
        <v>949445370.49693584</v>
      </c>
      <c r="K38" s="111">
        <f t="shared" si="17"/>
        <v>837954376.07463455</v>
      </c>
      <c r="L38" s="111">
        <f t="shared" si="17"/>
        <v>734954211.96302927</v>
      </c>
      <c r="M38" s="111">
        <f t="shared" si="17"/>
        <v>882402474.56366694</v>
      </c>
      <c r="N38" s="111">
        <f t="shared" si="17"/>
        <v>992991023.05397999</v>
      </c>
      <c r="O38" s="111">
        <f t="shared" si="17"/>
        <v>1119581545.3511081</v>
      </c>
      <c r="P38" s="111">
        <f t="shared" si="17"/>
        <v>1046929308.1326588</v>
      </c>
      <c r="Q38" s="111">
        <f t="shared" si="17"/>
        <v>1187729123.063853</v>
      </c>
      <c r="R38" s="111">
        <f t="shared" si="17"/>
        <v>1088830237.4355845</v>
      </c>
      <c r="S38" s="111">
        <f t="shared" si="17"/>
        <v>1352189233.0714946</v>
      </c>
      <c r="T38" s="111">
        <f t="shared" si="17"/>
        <v>1256327984.7984085</v>
      </c>
      <c r="U38" s="111">
        <f t="shared" si="17"/>
        <v>1373492323.3796711</v>
      </c>
      <c r="V38" s="111">
        <f t="shared" si="17"/>
        <v>1461309975.2273893</v>
      </c>
      <c r="W38" s="111">
        <f t="shared" si="17"/>
        <v>1526354329.4409065</v>
      </c>
      <c r="X38" s="111">
        <f t="shared" si="17"/>
        <v>1454513062.8040688</v>
      </c>
      <c r="Y38" s="111">
        <f t="shared" ref="Y38:AG38" si="18">Y35+Y36</f>
        <v>1604275081.0636976</v>
      </c>
      <c r="Z38" s="111">
        <f t="shared" si="18"/>
        <v>1745447567.9724391</v>
      </c>
      <c r="AA38" s="111">
        <f t="shared" si="18"/>
        <v>1816294221.8297091</v>
      </c>
      <c r="AB38" s="111">
        <f t="shared" si="18"/>
        <v>1702483888.7780318</v>
      </c>
      <c r="AC38" s="111">
        <f t="shared" si="18"/>
        <v>1821374134.0116441</v>
      </c>
      <c r="AD38" s="111">
        <f t="shared" si="18"/>
        <v>2038408866.1973815</v>
      </c>
      <c r="AE38" s="111">
        <f t="shared" si="18"/>
        <v>2128634358.5095758</v>
      </c>
      <c r="AF38" s="111">
        <f t="shared" si="18"/>
        <v>2222786377.8874965</v>
      </c>
      <c r="AG38" s="111">
        <f t="shared" si="18"/>
        <v>2321032013.3069358</v>
      </c>
    </row>
    <row r="39" spans="2:37" s="103" customFormat="1" ht="16" customHeight="1" x14ac:dyDescent="0.45">
      <c r="B39" s="110" t="s">
        <v>100</v>
      </c>
      <c r="D39" s="105">
        <f>-D35*$D$13</f>
        <v>-47343434.000000007</v>
      </c>
      <c r="E39" s="105">
        <f t="shared" ref="E39:AG39" si="19">-E35*$D$13</f>
        <v>-44972270.468710355</v>
      </c>
      <c r="F39" s="105">
        <f t="shared" si="19"/>
        <v>-45701558.902440012</v>
      </c>
      <c r="G39" s="105">
        <f t="shared" si="19"/>
        <v>-46678009.459659845</v>
      </c>
      <c r="H39" s="105">
        <f t="shared" si="19"/>
        <v>-50231330.16809433</v>
      </c>
      <c r="I39" s="105">
        <f t="shared" si="19"/>
        <v>-55060155.228543967</v>
      </c>
      <c r="J39" s="105">
        <f t="shared" si="19"/>
        <v>-53008343.590794273</v>
      </c>
      <c r="K39" s="105">
        <f t="shared" si="19"/>
        <v>-47705455.301603891</v>
      </c>
      <c r="L39" s="105">
        <f t="shared" si="19"/>
        <v>-42840434.483475901</v>
      </c>
      <c r="M39" s="105">
        <f t="shared" si="19"/>
        <v>-50511814.398460612</v>
      </c>
      <c r="N39" s="105">
        <f>-N35*$D$13</f>
        <v>-56354873.476711065</v>
      </c>
      <c r="O39" s="105">
        <f t="shared" si="19"/>
        <v>-63013415.184000045</v>
      </c>
      <c r="P39" s="105">
        <f t="shared" si="19"/>
        <v>-59725957.168943398</v>
      </c>
      <c r="Q39" s="105">
        <f t="shared" si="19"/>
        <v>-67128031.301164374</v>
      </c>
      <c r="R39" s="105">
        <f t="shared" si="19"/>
        <v>-62562930.014572598</v>
      </c>
      <c r="S39" s="105">
        <f t="shared" si="19"/>
        <v>-76129353.152801976</v>
      </c>
      <c r="T39" s="105">
        <f t="shared" si="19"/>
        <v>-71754307.885867938</v>
      </c>
      <c r="U39" s="105">
        <f t="shared" si="19"/>
        <v>-78051043.947575301</v>
      </c>
      <c r="V39" s="105">
        <f t="shared" si="19"/>
        <v>-82901952.814254999</v>
      </c>
      <c r="W39" s="105">
        <f t="shared" si="19"/>
        <v>-86636758.357207537</v>
      </c>
      <c r="X39" s="105">
        <f t="shared" si="19"/>
        <v>-83550950.505737782</v>
      </c>
      <c r="Y39" s="105">
        <f t="shared" si="19"/>
        <v>-89440596.822824597</v>
      </c>
      <c r="Z39" s="105">
        <f t="shared" si="19"/>
        <v>-96960563.306743667</v>
      </c>
      <c r="AA39" s="105">
        <f t="shared" si="19"/>
        <v>-100987305.24501325</v>
      </c>
      <c r="AB39" s="105">
        <f t="shared" si="19"/>
        <v>-95805418.30010578</v>
      </c>
      <c r="AC39" s="105">
        <f t="shared" si="19"/>
        <v>-102283991.7548466</v>
      </c>
      <c r="AD39" s="105">
        <f t="shared" si="19"/>
        <v>-113696492.61684668</v>
      </c>
      <c r="AE39" s="105">
        <f t="shared" si="19"/>
        <v>-118796569.69780529</v>
      </c>
      <c r="AF39" s="105">
        <f t="shared" si="19"/>
        <v>-124122413.25531764</v>
      </c>
      <c r="AG39" s="105">
        <f t="shared" si="19"/>
        <v>-129683849.74433675</v>
      </c>
    </row>
    <row r="40" spans="2:37" s="103" customFormat="1" ht="16" customHeight="1" x14ac:dyDescent="0.45">
      <c r="B40" s="110" t="s">
        <v>61</v>
      </c>
      <c r="D40" s="105">
        <f>+-D16</f>
        <v>-20100000</v>
      </c>
      <c r="E40" s="105">
        <f t="shared" ref="E40:AG40" si="20">D40+D40*D24</f>
        <v>-21507000</v>
      </c>
      <c r="F40" s="105">
        <f t="shared" si="20"/>
        <v>-22582350</v>
      </c>
      <c r="G40" s="105">
        <f t="shared" si="20"/>
        <v>-23711467.5</v>
      </c>
      <c r="H40" s="105">
        <f t="shared" si="20"/>
        <v>-24897040.875</v>
      </c>
      <c r="I40" s="105">
        <f t="shared" si="20"/>
        <v>-26141892.918749999</v>
      </c>
      <c r="J40" s="105">
        <f t="shared" si="20"/>
        <v>-27448987.564687498</v>
      </c>
      <c r="K40" s="105">
        <f t="shared" si="20"/>
        <v>-28821436.942921873</v>
      </c>
      <c r="L40" s="105">
        <f t="shared" si="20"/>
        <v>-30262508.790067967</v>
      </c>
      <c r="M40" s="105">
        <f t="shared" si="20"/>
        <v>-31775634.229571365</v>
      </c>
      <c r="N40" s="105">
        <f>M40+M40*M24</f>
        <v>-33364415.941049933</v>
      </c>
      <c r="O40" s="105">
        <f t="shared" si="20"/>
        <v>-35032636.738102429</v>
      </c>
      <c r="P40" s="105">
        <f t="shared" si="20"/>
        <v>-36784268.57500755</v>
      </c>
      <c r="Q40" s="105">
        <f t="shared" si="20"/>
        <v>-38623482.003757931</v>
      </c>
      <c r="R40" s="105">
        <f t="shared" si="20"/>
        <v>-40554656.103945829</v>
      </c>
      <c r="S40" s="105">
        <f t="shared" si="20"/>
        <v>-42582388.90914312</v>
      </c>
      <c r="T40" s="105">
        <f t="shared" si="20"/>
        <v>-44711508.354600273</v>
      </c>
      <c r="U40" s="105">
        <f>T40+T40*T24</f>
        <v>-46947083.772330284</v>
      </c>
      <c r="V40" s="105">
        <f t="shared" si="20"/>
        <v>-49294437.960946798</v>
      </c>
      <c r="W40" s="105">
        <f t="shared" si="20"/>
        <v>-51759159.858994141</v>
      </c>
      <c r="X40" s="105">
        <f t="shared" si="20"/>
        <v>-54347117.851943851</v>
      </c>
      <c r="Y40" s="105">
        <f t="shared" si="20"/>
        <v>-57064473.744541042</v>
      </c>
      <c r="Z40" s="105">
        <f t="shared" si="20"/>
        <v>-59917697.431768097</v>
      </c>
      <c r="AA40" s="105">
        <f t="shared" si="20"/>
        <v>-62913582.303356498</v>
      </c>
      <c r="AB40" s="105">
        <f t="shared" si="20"/>
        <v>-66059261.418524325</v>
      </c>
      <c r="AC40" s="105">
        <f t="shared" si="20"/>
        <v>-69362224.489450544</v>
      </c>
      <c r="AD40" s="105">
        <f t="shared" si="20"/>
        <v>-72830335.713923067</v>
      </c>
      <c r="AE40" s="105">
        <f t="shared" si="20"/>
        <v>-76471852.499619216</v>
      </c>
      <c r="AF40" s="105">
        <f t="shared" si="20"/>
        <v>-80295445.124600172</v>
      </c>
      <c r="AG40" s="105">
        <f t="shared" si="20"/>
        <v>-84310217.380830184</v>
      </c>
    </row>
    <row r="41" spans="2:37" s="103" customFormat="1" ht="16" customHeight="1" x14ac:dyDescent="0.45">
      <c r="B41" s="110" t="s">
        <v>25</v>
      </c>
      <c r="D41" s="105">
        <f>H7</f>
        <v>16000000</v>
      </c>
      <c r="E41" s="105">
        <f t="shared" ref="E41:AG41" si="21">D41*(1+D24)</f>
        <v>17120000</v>
      </c>
      <c r="F41" s="105">
        <f t="shared" si="21"/>
        <v>17976000</v>
      </c>
      <c r="G41" s="105">
        <f t="shared" si="21"/>
        <v>18874800</v>
      </c>
      <c r="H41" s="105">
        <f t="shared" si="21"/>
        <v>19818540</v>
      </c>
      <c r="I41" s="105">
        <f t="shared" si="21"/>
        <v>20809467</v>
      </c>
      <c r="J41" s="105">
        <f t="shared" si="21"/>
        <v>21849940.350000001</v>
      </c>
      <c r="K41" s="105">
        <f t="shared" si="21"/>
        <v>22942437.367500003</v>
      </c>
      <c r="L41" s="105">
        <f t="shared" si="21"/>
        <v>24089559.235875003</v>
      </c>
      <c r="M41" s="105">
        <f t="shared" si="21"/>
        <v>25294037.197668754</v>
      </c>
      <c r="N41" s="105">
        <f>M41*(1+M24)</f>
        <v>26558739.057552192</v>
      </c>
      <c r="O41" s="105">
        <f t="shared" si="21"/>
        <v>27886676.010429803</v>
      </c>
      <c r="P41" s="105">
        <f t="shared" si="21"/>
        <v>29281009.810951296</v>
      </c>
      <c r="Q41" s="105">
        <f t="shared" si="21"/>
        <v>30745060.301498864</v>
      </c>
      <c r="R41" s="105">
        <f t="shared" si="21"/>
        <v>32282313.31657381</v>
      </c>
      <c r="S41" s="105">
        <f t="shared" si="21"/>
        <v>33896428.982402503</v>
      </c>
      <c r="T41" s="105">
        <f t="shared" si="21"/>
        <v>35591250.43152263</v>
      </c>
      <c r="U41" s="105">
        <f>T41*(1+T24)</f>
        <v>37370812.953098767</v>
      </c>
      <c r="V41" s="105">
        <f t="shared" si="21"/>
        <v>39239353.60075371</v>
      </c>
      <c r="W41" s="105">
        <f t="shared" si="21"/>
        <v>41201321.280791394</v>
      </c>
      <c r="X41" s="105">
        <f t="shared" si="21"/>
        <v>43261387.344830967</v>
      </c>
      <c r="Y41" s="105">
        <f t="shared" si="21"/>
        <v>45424456.712072521</v>
      </c>
      <c r="Z41" s="105">
        <f t="shared" si="21"/>
        <v>47695679.547676146</v>
      </c>
      <c r="AA41" s="105">
        <f t="shared" si="21"/>
        <v>50080463.525059953</v>
      </c>
      <c r="AB41" s="105">
        <f t="shared" si="21"/>
        <v>52584486.701312952</v>
      </c>
      <c r="AC41" s="105">
        <f t="shared" si="21"/>
        <v>55213711.0363786</v>
      </c>
      <c r="AD41" s="105">
        <f t="shared" si="21"/>
        <v>57974396.588197529</v>
      </c>
      <c r="AE41" s="105">
        <f t="shared" si="21"/>
        <v>60873116.417607412</v>
      </c>
      <c r="AF41" s="105">
        <f t="shared" si="21"/>
        <v>63916772.238487788</v>
      </c>
      <c r="AG41" s="105">
        <f t="shared" si="21"/>
        <v>67112610.850412175</v>
      </c>
    </row>
    <row r="42" spans="2:37" s="103" customFormat="1" ht="16" customHeight="1" x14ac:dyDescent="0.45">
      <c r="B42" s="110" t="s">
        <v>101</v>
      </c>
      <c r="D42" s="105">
        <f t="shared" ref="D42:AG42" si="22">-D35*$H$11</f>
        <v>-5681212.080000001</v>
      </c>
      <c r="E42" s="105">
        <f t="shared" si="22"/>
        <v>-5396672.4562452426</v>
      </c>
      <c r="F42" s="105">
        <f t="shared" si="22"/>
        <v>-5484187.0682928003</v>
      </c>
      <c r="G42" s="105">
        <f t="shared" si="22"/>
        <v>-5601361.1351591805</v>
      </c>
      <c r="H42" s="105">
        <f t="shared" si="22"/>
        <v>-6027759.6201713188</v>
      </c>
      <c r="I42" s="105">
        <f t="shared" si="22"/>
        <v>-6607218.6274252757</v>
      </c>
      <c r="J42" s="105">
        <f t="shared" si="22"/>
        <v>-6361001.2308953125</v>
      </c>
      <c r="K42" s="105">
        <f t="shared" si="22"/>
        <v>-5724654.6361924671</v>
      </c>
      <c r="L42" s="105">
        <f t="shared" si="22"/>
        <v>-5140852.1380171077</v>
      </c>
      <c r="M42" s="105">
        <f t="shared" si="22"/>
        <v>-6061417.7278152732</v>
      </c>
      <c r="N42" s="105">
        <f t="shared" si="22"/>
        <v>-6762584.8172053276</v>
      </c>
      <c r="O42" s="105">
        <f t="shared" si="22"/>
        <v>-7561609.822080005</v>
      </c>
      <c r="P42" s="105">
        <f t="shared" si="22"/>
        <v>-7167114.8602732075</v>
      </c>
      <c r="Q42" s="105">
        <f t="shared" si="22"/>
        <v>-8055363.7561397254</v>
      </c>
      <c r="R42" s="105">
        <f t="shared" si="22"/>
        <v>-7507551.6017487114</v>
      </c>
      <c r="S42" s="105">
        <f t="shared" si="22"/>
        <v>-9135522.3783362359</v>
      </c>
      <c r="T42" s="105">
        <f t="shared" si="22"/>
        <v>-8610516.9463041518</v>
      </c>
      <c r="U42" s="105">
        <f t="shared" si="22"/>
        <v>-9366125.2737090364</v>
      </c>
      <c r="V42" s="105">
        <f t="shared" si="22"/>
        <v>-9948234.3377105985</v>
      </c>
      <c r="W42" s="105">
        <f t="shared" si="22"/>
        <v>-10396411.002864903</v>
      </c>
      <c r="X42" s="105">
        <f t="shared" si="22"/>
        <v>-10026114.060688533</v>
      </c>
      <c r="Y42" s="105">
        <f t="shared" si="22"/>
        <v>-10732871.618738951</v>
      </c>
      <c r="Z42" s="105">
        <f t="shared" si="22"/>
        <v>-11635267.59680924</v>
      </c>
      <c r="AA42" s="105">
        <f t="shared" si="22"/>
        <v>-12118476.629401591</v>
      </c>
      <c r="AB42" s="105">
        <f t="shared" si="22"/>
        <v>-11496650.196012693</v>
      </c>
      <c r="AC42" s="105">
        <f t="shared" si="22"/>
        <v>-12274079.010581592</v>
      </c>
      <c r="AD42" s="105">
        <f t="shared" si="22"/>
        <v>-13643579.114021601</v>
      </c>
      <c r="AE42" s="105">
        <f t="shared" si="22"/>
        <v>-14255588.363736635</v>
      </c>
      <c r="AF42" s="105">
        <f t="shared" si="22"/>
        <v>-14894689.590638118</v>
      </c>
      <c r="AG42" s="105">
        <f t="shared" si="22"/>
        <v>-15562061.969320411</v>
      </c>
    </row>
    <row r="43" spans="2:37" s="100" customFormat="1" ht="16" customHeight="1" x14ac:dyDescent="0.45">
      <c r="B43" s="101" t="s">
        <v>102</v>
      </c>
      <c r="C43" s="111"/>
      <c r="D43" s="111">
        <f t="shared" ref="D43:AG43" si="23">SUM(D38:D42)</f>
        <v>809022033.92000008</v>
      </c>
      <c r="E43" s="111">
        <f>SUM(E38:E42)</f>
        <v>759485775.8285619</v>
      </c>
      <c r="F43" s="111">
        <f t="shared" si="23"/>
        <v>766825897.46214318</v>
      </c>
      <c r="G43" s="111">
        <f t="shared" si="23"/>
        <v>780544919.26204729</v>
      </c>
      <c r="H43" s="111">
        <f t="shared" si="23"/>
        <v>842683661.88138318</v>
      </c>
      <c r="I43" s="111">
        <f t="shared" si="23"/>
        <v>928660971.179515</v>
      </c>
      <c r="J43" s="111">
        <f t="shared" si="23"/>
        <v>884476978.46055877</v>
      </c>
      <c r="K43" s="111">
        <f t="shared" si="23"/>
        <v>778645266.56141627</v>
      </c>
      <c r="L43" s="111">
        <f t="shared" si="23"/>
        <v>680799975.78734338</v>
      </c>
      <c r="M43" s="111">
        <f t="shared" si="23"/>
        <v>819347645.40548849</v>
      </c>
      <c r="N43" s="111">
        <f t="shared" si="23"/>
        <v>923067887.87656593</v>
      </c>
      <c r="O43" s="111">
        <f t="shared" si="23"/>
        <v>1041860559.6173555</v>
      </c>
      <c r="P43" s="111">
        <f t="shared" si="23"/>
        <v>972532977.33938599</v>
      </c>
      <c r="Q43" s="111">
        <f t="shared" si="23"/>
        <v>1104667306.3042898</v>
      </c>
      <c r="R43" s="111">
        <f t="shared" si="23"/>
        <v>1010487413.0318912</v>
      </c>
      <c r="S43" s="111">
        <f t="shared" si="23"/>
        <v>1258238397.6136158</v>
      </c>
      <c r="T43" s="111">
        <f t="shared" si="23"/>
        <v>1166842902.043159</v>
      </c>
      <c r="U43" s="111">
        <f t="shared" si="23"/>
        <v>1276498883.3391552</v>
      </c>
      <c r="V43" s="111">
        <f t="shared" si="23"/>
        <v>1358404703.7152307</v>
      </c>
      <c r="W43" s="111">
        <f t="shared" si="23"/>
        <v>1418763321.5026312</v>
      </c>
      <c r="X43" s="111">
        <f t="shared" si="23"/>
        <v>1349850267.7305298</v>
      </c>
      <c r="Y43" s="111">
        <f t="shared" si="23"/>
        <v>1492461595.5896657</v>
      </c>
      <c r="Z43" s="111">
        <f t="shared" si="23"/>
        <v>1624629719.1847942</v>
      </c>
      <c r="AA43" s="111">
        <f t="shared" si="23"/>
        <v>1690355321.1769977</v>
      </c>
      <c r="AB43" s="111">
        <f t="shared" si="23"/>
        <v>1581707045.564702</v>
      </c>
      <c r="AC43" s="111">
        <f t="shared" si="23"/>
        <v>1692667549.7931442</v>
      </c>
      <c r="AD43" s="111">
        <f t="shared" si="23"/>
        <v>1896212855.3407879</v>
      </c>
      <c r="AE43" s="111">
        <f t="shared" si="23"/>
        <v>1979983464.3660219</v>
      </c>
      <c r="AF43" s="111">
        <f t="shared" si="23"/>
        <v>2067390602.1554282</v>
      </c>
      <c r="AG43" s="111">
        <f t="shared" si="23"/>
        <v>2158588495.062861</v>
      </c>
    </row>
    <row r="44" spans="2:37" s="103" customFormat="1" ht="16" customHeight="1" x14ac:dyDescent="0.45">
      <c r="B44" s="110" t="s">
        <v>104</v>
      </c>
      <c r="C44" s="109"/>
      <c r="D44" s="112">
        <f>IF($D$19="Si",-Amortizaciones!B34,0)</f>
        <v>-193023090.7389532</v>
      </c>
      <c r="E44" s="112">
        <f ca="1">IF($D$19="Si",-Amortizaciones!C34,0)</f>
        <v>-222334275.56287283</v>
      </c>
      <c r="F44" s="112">
        <f ca="1">IF($D$19="Si",-Amortizaciones!D34,0)</f>
        <v>-196187053.83924085</v>
      </c>
      <c r="G44" s="112">
        <f ca="1">IF($D$19="Si",-Amortizaciones!E34,0)</f>
        <v>-182134775.40720579</v>
      </c>
      <c r="H44" s="112">
        <f ca="1">IF($D$19="Si",-Amortizaciones!F34,0)</f>
        <v>-152105224.48836386</v>
      </c>
      <c r="I44" s="112">
        <f ca="1">IF($D$19="Si",-Amortizaciones!G34,0)</f>
        <v>-119312954.88498846</v>
      </c>
      <c r="J44" s="112">
        <f ca="1">IF($D$19="Si",-Amortizaciones!H34,0)</f>
        <v>-83503796.478102535</v>
      </c>
      <c r="K44" s="112">
        <f>IF($D$19="Si",-Amortizaciones!J27,0)</f>
        <v>0</v>
      </c>
      <c r="L44" s="112">
        <f>IF($D$19="Si",-Amortizaciones!K27,0)</f>
        <v>0</v>
      </c>
      <c r="M44" s="112">
        <f>IF($D$19="Si",-Amortizaciones!L27,0)</f>
        <v>0</v>
      </c>
      <c r="N44" s="112">
        <f>IF($D$19="Si",-Amortizaciones!M27,0)</f>
        <v>0</v>
      </c>
      <c r="O44" s="112">
        <f>IF($D$19="Si",-Amortizaciones!N27,0)</f>
        <v>0</v>
      </c>
      <c r="P44" s="112">
        <f>IF($D$19="Si",-Amortizaciones!O27,0)</f>
        <v>0</v>
      </c>
      <c r="Q44" s="112">
        <f>IF($D$19="Si",-Amortizaciones!P27,0)</f>
        <v>0</v>
      </c>
      <c r="R44" s="112">
        <f>IF($D$19="Si",-Amortizaciones!Q27,0)</f>
        <v>0</v>
      </c>
      <c r="S44" s="112">
        <f>IF($D$19="Si",-Amortizaciones!R27,0)</f>
        <v>0</v>
      </c>
      <c r="T44" s="112">
        <f>IF($D$19="Si",-Amortizaciones!S27,0)</f>
        <v>0</v>
      </c>
      <c r="U44" s="112">
        <f>IF($D$19="Si",-Amortizaciones!T27,0)</f>
        <v>0</v>
      </c>
      <c r="V44" s="112">
        <f>IF($D$19="Si",-Amortizaciones!U27,0)</f>
        <v>0</v>
      </c>
      <c r="W44" s="112">
        <f>IF($D$19="Si",-Amortizaciones!V27,0)</f>
        <v>0</v>
      </c>
      <c r="X44" s="112">
        <f>IF($D$19="Si",-Amortizaciones!W27,0)</f>
        <v>0</v>
      </c>
      <c r="Y44" s="112">
        <f>IF($D$19="Si",-Amortizaciones!X27,0)</f>
        <v>0</v>
      </c>
      <c r="Z44" s="112">
        <f>IF($D$19="Si",-Amortizaciones!Y27,0)</f>
        <v>0</v>
      </c>
      <c r="AA44" s="112">
        <f>IF($D$19="Si",-Amortizaciones!Z27,0)</f>
        <v>0</v>
      </c>
      <c r="AB44" s="112">
        <f>IF($D$19="Si",-Amortizaciones!AA27,0)</f>
        <v>0</v>
      </c>
      <c r="AC44" s="112">
        <f>IF($D$19="Si",-Amortizaciones!AB27,0)</f>
        <v>0</v>
      </c>
      <c r="AD44" s="112">
        <f>IF($D$19="Si",-Amortizaciones!AC27,0)</f>
        <v>0</v>
      </c>
      <c r="AE44" s="112">
        <f>IF($D$19="Si",-Amortizaciones!AD27,0)</f>
        <v>0</v>
      </c>
      <c r="AF44" s="112">
        <f>IF($D$19="Si",-Amortizaciones!AE27,0)</f>
        <v>0</v>
      </c>
      <c r="AG44" s="112">
        <f>IF($D$19="Si",-Amortizaciones!AF27,0)</f>
        <v>0</v>
      </c>
    </row>
    <row r="45" spans="2:37" s="100" customFormat="1" ht="16" customHeight="1" x14ac:dyDescent="0.45">
      <c r="B45" s="101" t="s">
        <v>105</v>
      </c>
      <c r="D45" s="111">
        <f>D43+D44</f>
        <v>615998943.18104684</v>
      </c>
      <c r="E45" s="111">
        <f t="shared" ref="E45:AG45" ca="1" si="24">E43+E44</f>
        <v>537151500.26568913</v>
      </c>
      <c r="F45" s="111">
        <f t="shared" ca="1" si="24"/>
        <v>570638843.62290239</v>
      </c>
      <c r="G45" s="111">
        <f t="shared" ca="1" si="24"/>
        <v>598410143.85484147</v>
      </c>
      <c r="H45" s="111">
        <f t="shared" ca="1" si="24"/>
        <v>690578437.39301932</v>
      </c>
      <c r="I45" s="111">
        <f t="shared" ca="1" si="24"/>
        <v>809348016.29452658</v>
      </c>
      <c r="J45" s="111">
        <f t="shared" ca="1" si="24"/>
        <v>800973181.98245621</v>
      </c>
      <c r="K45" s="111">
        <f t="shared" si="24"/>
        <v>778645266.56141627</v>
      </c>
      <c r="L45" s="111">
        <f t="shared" si="24"/>
        <v>680799975.78734338</v>
      </c>
      <c r="M45" s="111">
        <f t="shared" si="24"/>
        <v>819347645.40548849</v>
      </c>
      <c r="N45" s="111">
        <f t="shared" si="24"/>
        <v>923067887.87656593</v>
      </c>
      <c r="O45" s="111">
        <f t="shared" si="24"/>
        <v>1041860559.6173555</v>
      </c>
      <c r="P45" s="111">
        <f t="shared" si="24"/>
        <v>972532977.33938599</v>
      </c>
      <c r="Q45" s="111">
        <f t="shared" si="24"/>
        <v>1104667306.3042898</v>
      </c>
      <c r="R45" s="111">
        <f t="shared" si="24"/>
        <v>1010487413.0318912</v>
      </c>
      <c r="S45" s="111">
        <f t="shared" si="24"/>
        <v>1258238397.6136158</v>
      </c>
      <c r="T45" s="111">
        <f t="shared" si="24"/>
        <v>1166842902.043159</v>
      </c>
      <c r="U45" s="111">
        <f t="shared" si="24"/>
        <v>1276498883.3391552</v>
      </c>
      <c r="V45" s="111">
        <f t="shared" si="24"/>
        <v>1358404703.7152307</v>
      </c>
      <c r="W45" s="111">
        <f t="shared" si="24"/>
        <v>1418763321.5026312</v>
      </c>
      <c r="X45" s="111">
        <f t="shared" si="24"/>
        <v>1349850267.7305298</v>
      </c>
      <c r="Y45" s="111">
        <f t="shared" si="24"/>
        <v>1492461595.5896657</v>
      </c>
      <c r="Z45" s="111">
        <f t="shared" si="24"/>
        <v>1624629719.1847942</v>
      </c>
      <c r="AA45" s="111">
        <f t="shared" si="24"/>
        <v>1690355321.1769977</v>
      </c>
      <c r="AB45" s="111">
        <f t="shared" si="24"/>
        <v>1581707045.564702</v>
      </c>
      <c r="AC45" s="111">
        <f t="shared" si="24"/>
        <v>1692667549.7931442</v>
      </c>
      <c r="AD45" s="111">
        <f t="shared" si="24"/>
        <v>1896212855.3407879</v>
      </c>
      <c r="AE45" s="111">
        <f t="shared" si="24"/>
        <v>1979983464.3660219</v>
      </c>
      <c r="AF45" s="111">
        <f t="shared" si="24"/>
        <v>2067390602.1554282</v>
      </c>
      <c r="AG45" s="111">
        <f t="shared" si="24"/>
        <v>2158588495.062861</v>
      </c>
      <c r="AH45" s="111"/>
      <c r="AI45" s="111"/>
      <c r="AJ45" s="111"/>
    </row>
    <row r="46" spans="2:37" s="103" customFormat="1" ht="16" customHeight="1" x14ac:dyDescent="0.45">
      <c r="B46" s="110" t="s">
        <v>106</v>
      </c>
      <c r="D46" s="105">
        <f>-D45*$H$10</f>
        <v>-215599630.1133664</v>
      </c>
      <c r="E46" s="105">
        <f t="shared" ref="E46:AG46" ca="1" si="25">-E45*$H$10</f>
        <v>-188003025.09299117</v>
      </c>
      <c r="F46" s="105">
        <f t="shared" ca="1" si="25"/>
        <v>-199723595.26801583</v>
      </c>
      <c r="G46" s="105">
        <f t="shared" ca="1" si="25"/>
        <v>-209443550.3491945</v>
      </c>
      <c r="H46" s="105">
        <f t="shared" ca="1" si="25"/>
        <v>-241702453.08755675</v>
      </c>
      <c r="I46" s="105">
        <f t="shared" ca="1" si="25"/>
        <v>-283271805.70308429</v>
      </c>
      <c r="J46" s="105">
        <f t="shared" ca="1" si="25"/>
        <v>-280340613.69385964</v>
      </c>
      <c r="K46" s="105">
        <f t="shared" si="25"/>
        <v>-272525843.29649568</v>
      </c>
      <c r="L46" s="105">
        <f t="shared" si="25"/>
        <v>-238279991.52557015</v>
      </c>
      <c r="M46" s="105">
        <f t="shared" si="25"/>
        <v>-286771675.89192092</v>
      </c>
      <c r="N46" s="105">
        <f t="shared" si="25"/>
        <v>-323073760.75679803</v>
      </c>
      <c r="O46" s="105">
        <f t="shared" si="25"/>
        <v>-364651195.86607438</v>
      </c>
      <c r="P46" s="105">
        <f t="shared" si="25"/>
        <v>-340386542.06878507</v>
      </c>
      <c r="Q46" s="105">
        <f t="shared" si="25"/>
        <v>-386633557.20650142</v>
      </c>
      <c r="R46" s="105">
        <f t="shared" si="25"/>
        <v>-353670594.56116194</v>
      </c>
      <c r="S46" s="105">
        <f t="shared" si="25"/>
        <v>-440383439.16476548</v>
      </c>
      <c r="T46" s="105">
        <f t="shared" si="25"/>
        <v>-408395015.71510565</v>
      </c>
      <c r="U46" s="105">
        <f t="shared" si="25"/>
        <v>-446774609.16870427</v>
      </c>
      <c r="V46" s="105">
        <f t="shared" si="25"/>
        <v>-475441646.3003307</v>
      </c>
      <c r="W46" s="105">
        <f t="shared" si="25"/>
        <v>-496567162.52592087</v>
      </c>
      <c r="X46" s="105">
        <f t="shared" si="25"/>
        <v>-472447593.70568538</v>
      </c>
      <c r="Y46" s="105">
        <f t="shared" si="25"/>
        <v>-522361558.45638293</v>
      </c>
      <c r="Z46" s="105">
        <f t="shared" si="25"/>
        <v>-568620401.71467793</v>
      </c>
      <c r="AA46" s="105">
        <f t="shared" si="25"/>
        <v>-591624362.41194916</v>
      </c>
      <c r="AB46" s="105">
        <f t="shared" si="25"/>
        <v>-553597465.94764566</v>
      </c>
      <c r="AC46" s="105">
        <f t="shared" si="25"/>
        <v>-592433642.42760038</v>
      </c>
      <c r="AD46" s="105">
        <f t="shared" si="25"/>
        <v>-663674499.36927569</v>
      </c>
      <c r="AE46" s="105">
        <f t="shared" si="25"/>
        <v>-692994212.52810764</v>
      </c>
      <c r="AF46" s="105">
        <f t="shared" si="25"/>
        <v>-723586710.75439978</v>
      </c>
      <c r="AG46" s="105">
        <f t="shared" si="25"/>
        <v>-755505973.27200127</v>
      </c>
      <c r="AH46" s="105"/>
      <c r="AI46" s="105"/>
      <c r="AJ46" s="105"/>
      <c r="AK46" s="105"/>
    </row>
    <row r="47" spans="2:37" s="103" customFormat="1" ht="16" customHeight="1" x14ac:dyDescent="0.45">
      <c r="B47" s="110" t="s">
        <v>133</v>
      </c>
      <c r="D47" s="105">
        <f>$D$8/3*$H$10</f>
        <v>469000000</v>
      </c>
      <c r="E47" s="105">
        <f t="shared" ref="E47:F47" si="26">$D$8/3*$H$10</f>
        <v>469000000</v>
      </c>
      <c r="F47" s="105">
        <f t="shared" si="26"/>
        <v>469000000</v>
      </c>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05"/>
      <c r="AE47" s="105"/>
      <c r="AF47" s="105"/>
      <c r="AG47" s="105"/>
      <c r="AH47" s="105"/>
      <c r="AI47" s="105"/>
      <c r="AJ47" s="105"/>
      <c r="AK47" s="105"/>
    </row>
    <row r="48" spans="2:37" s="103" customFormat="1" ht="16" customHeight="1" x14ac:dyDescent="0.45">
      <c r="B48" s="110" t="s">
        <v>89</v>
      </c>
      <c r="D48" s="105"/>
      <c r="E48" s="105">
        <f>D8*0.5*$H$10</f>
        <v>703500000</v>
      </c>
      <c r="F48" s="105"/>
      <c r="G48" s="105"/>
      <c r="H48" s="105"/>
      <c r="I48" s="105"/>
      <c r="J48" s="105"/>
      <c r="K48" s="105"/>
      <c r="L48" s="105"/>
      <c r="M48" s="105"/>
      <c r="N48" s="105"/>
      <c r="O48" s="105"/>
      <c r="P48" s="105"/>
      <c r="Q48" s="105"/>
      <c r="R48" s="105"/>
      <c r="S48" s="105"/>
      <c r="T48" s="105"/>
      <c r="U48" s="105"/>
      <c r="V48" s="105"/>
      <c r="W48" s="105"/>
      <c r="X48" s="105"/>
      <c r="Y48" s="105"/>
      <c r="Z48" s="105"/>
      <c r="AA48" s="105"/>
      <c r="AB48" s="105"/>
      <c r="AC48" s="105"/>
      <c r="AD48" s="105"/>
      <c r="AE48" s="105"/>
      <c r="AF48" s="105"/>
      <c r="AG48" s="105"/>
      <c r="AH48" s="105"/>
      <c r="AI48" s="105"/>
      <c r="AJ48" s="105"/>
      <c r="AK48" s="105"/>
    </row>
    <row r="49" spans="1:37" s="100" customFormat="1" ht="16" customHeight="1" x14ac:dyDescent="0.45">
      <c r="B49" s="101" t="s">
        <v>107</v>
      </c>
      <c r="C49" s="111"/>
      <c r="D49" s="111">
        <f>SUM(D45:D48)</f>
        <v>869399313.06768048</v>
      </c>
      <c r="E49" s="111">
        <f ca="1">SUM(E45:E48)</f>
        <v>1521648475.172698</v>
      </c>
      <c r="F49" s="111">
        <f t="shared" ref="F49:AG49" ca="1" si="27">SUM(F45:F48)</f>
        <v>839915248.35488653</v>
      </c>
      <c r="G49" s="111">
        <f t="shared" ca="1" si="27"/>
        <v>388966593.50564694</v>
      </c>
      <c r="H49" s="111">
        <f t="shared" ca="1" si="27"/>
        <v>448875984.3054626</v>
      </c>
      <c r="I49" s="111">
        <f t="shared" ca="1" si="27"/>
        <v>526076210.59144229</v>
      </c>
      <c r="J49" s="111">
        <f t="shared" ca="1" si="27"/>
        <v>520632568.28859657</v>
      </c>
      <c r="K49" s="111">
        <f t="shared" si="27"/>
        <v>506119423.26492059</v>
      </c>
      <c r="L49" s="111">
        <f t="shared" si="27"/>
        <v>442519984.26177323</v>
      </c>
      <c r="M49" s="111">
        <f t="shared" si="27"/>
        <v>532575969.51356757</v>
      </c>
      <c r="N49" s="111">
        <f t="shared" si="27"/>
        <v>599994127.1197679</v>
      </c>
      <c r="O49" s="111">
        <f t="shared" si="27"/>
        <v>677209363.75128102</v>
      </c>
      <c r="P49" s="111">
        <f t="shared" si="27"/>
        <v>632146435.27060091</v>
      </c>
      <c r="Q49" s="111">
        <f t="shared" si="27"/>
        <v>718033749.09778833</v>
      </c>
      <c r="R49" s="111">
        <f t="shared" si="27"/>
        <v>656816818.47072935</v>
      </c>
      <c r="S49" s="111">
        <f t="shared" si="27"/>
        <v>817854958.44885027</v>
      </c>
      <c r="T49" s="111">
        <f t="shared" si="27"/>
        <v>758447886.32805336</v>
      </c>
      <c r="U49" s="111">
        <f t="shared" si="27"/>
        <v>829724274.17045093</v>
      </c>
      <c r="V49" s="111">
        <f t="shared" si="27"/>
        <v>882963057.41490006</v>
      </c>
      <c r="W49" s="111">
        <f t="shared" si="27"/>
        <v>922196158.97671032</v>
      </c>
      <c r="X49" s="111">
        <f t="shared" si="27"/>
        <v>877402674.02484441</v>
      </c>
      <c r="Y49" s="111">
        <f t="shared" si="27"/>
        <v>970100037.13328266</v>
      </c>
      <c r="Z49" s="111">
        <f t="shared" si="27"/>
        <v>1056009317.4701163</v>
      </c>
      <c r="AA49" s="111">
        <f t="shared" si="27"/>
        <v>1098730958.7650485</v>
      </c>
      <c r="AB49" s="111">
        <f t="shared" si="27"/>
        <v>1028109579.6170564</v>
      </c>
      <c r="AC49" s="111">
        <f t="shared" si="27"/>
        <v>1100233907.3655438</v>
      </c>
      <c r="AD49" s="111">
        <f t="shared" si="27"/>
        <v>1232538355.9715123</v>
      </c>
      <c r="AE49" s="111">
        <f t="shared" si="27"/>
        <v>1286989251.8379142</v>
      </c>
      <c r="AF49" s="111">
        <f t="shared" si="27"/>
        <v>1343803891.4010284</v>
      </c>
      <c r="AG49" s="111">
        <f t="shared" si="27"/>
        <v>1403082521.7908597</v>
      </c>
      <c r="AH49" s="111"/>
      <c r="AI49" s="111"/>
      <c r="AJ49" s="111"/>
      <c r="AK49" s="111"/>
    </row>
    <row r="50" spans="1:37" x14ac:dyDescent="0.4">
      <c r="B50" s="245"/>
      <c r="C50" s="87"/>
      <c r="D50" s="88"/>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row>
    <row r="51" spans="1:37" ht="16.3" thickBot="1" x14ac:dyDescent="0.5">
      <c r="B51" s="142" t="s">
        <v>108</v>
      </c>
      <c r="C51" s="143"/>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row>
    <row r="52" spans="1:37" ht="15.9" x14ac:dyDescent="0.45">
      <c r="B52" s="101" t="s">
        <v>85</v>
      </c>
      <c r="C52" s="100">
        <v>0</v>
      </c>
      <c r="D52" s="100">
        <v>1</v>
      </c>
      <c r="E52" s="100">
        <v>2</v>
      </c>
      <c r="F52" s="100">
        <v>3</v>
      </c>
      <c r="G52" s="100">
        <v>4</v>
      </c>
      <c r="H52" s="100">
        <v>5</v>
      </c>
      <c r="I52" s="100">
        <v>6</v>
      </c>
      <c r="J52" s="100">
        <v>7</v>
      </c>
      <c r="K52" s="100">
        <v>8</v>
      </c>
      <c r="L52" s="100">
        <v>9</v>
      </c>
      <c r="M52" s="100">
        <v>10</v>
      </c>
      <c r="N52" s="100">
        <v>11</v>
      </c>
      <c r="O52" s="100">
        <v>12</v>
      </c>
      <c r="P52" s="100">
        <v>13</v>
      </c>
      <c r="Q52" s="100">
        <v>14</v>
      </c>
      <c r="R52" s="100">
        <v>15</v>
      </c>
      <c r="S52" s="100">
        <v>16</v>
      </c>
      <c r="T52" s="100">
        <v>17</v>
      </c>
      <c r="U52" s="100">
        <v>18</v>
      </c>
      <c r="V52" s="100">
        <v>19</v>
      </c>
      <c r="W52" s="100">
        <v>20</v>
      </c>
      <c r="X52" s="100">
        <v>21</v>
      </c>
      <c r="Y52" s="100">
        <v>22</v>
      </c>
      <c r="Z52" s="100">
        <v>23</v>
      </c>
      <c r="AA52" s="100">
        <v>24</v>
      </c>
      <c r="AB52" s="100">
        <v>25</v>
      </c>
      <c r="AC52" s="100">
        <v>26</v>
      </c>
      <c r="AD52" s="100">
        <v>27</v>
      </c>
      <c r="AE52" s="100">
        <v>28</v>
      </c>
      <c r="AF52" s="100">
        <v>29</v>
      </c>
      <c r="AG52" s="100">
        <v>30</v>
      </c>
    </row>
    <row r="53" spans="1:37" s="114" customFormat="1" x14ac:dyDescent="0.4">
      <c r="A53" s="113"/>
      <c r="B53" s="145" t="s">
        <v>109</v>
      </c>
      <c r="D53" s="114">
        <f>D43</f>
        <v>809022033.92000008</v>
      </c>
      <c r="E53" s="114">
        <f t="shared" ref="E53:AG53" si="28">E43</f>
        <v>759485775.8285619</v>
      </c>
      <c r="F53" s="114">
        <f t="shared" si="28"/>
        <v>766825897.46214318</v>
      </c>
      <c r="G53" s="114">
        <f t="shared" si="28"/>
        <v>780544919.26204729</v>
      </c>
      <c r="H53" s="114">
        <f t="shared" si="28"/>
        <v>842683661.88138318</v>
      </c>
      <c r="I53" s="114">
        <f t="shared" si="28"/>
        <v>928660971.179515</v>
      </c>
      <c r="J53" s="114">
        <f t="shared" si="28"/>
        <v>884476978.46055877</v>
      </c>
      <c r="K53" s="114">
        <f t="shared" si="28"/>
        <v>778645266.56141627</v>
      </c>
      <c r="L53" s="114">
        <f t="shared" si="28"/>
        <v>680799975.78734338</v>
      </c>
      <c r="M53" s="114">
        <f t="shared" si="28"/>
        <v>819347645.40548849</v>
      </c>
      <c r="N53" s="114">
        <f t="shared" si="28"/>
        <v>923067887.87656593</v>
      </c>
      <c r="O53" s="114">
        <f t="shared" si="28"/>
        <v>1041860559.6173555</v>
      </c>
      <c r="P53" s="114">
        <f t="shared" si="28"/>
        <v>972532977.33938599</v>
      </c>
      <c r="Q53" s="114">
        <f t="shared" si="28"/>
        <v>1104667306.3042898</v>
      </c>
      <c r="R53" s="114">
        <f t="shared" si="28"/>
        <v>1010487413.0318912</v>
      </c>
      <c r="S53" s="114">
        <f t="shared" si="28"/>
        <v>1258238397.6136158</v>
      </c>
      <c r="T53" s="114">
        <f t="shared" si="28"/>
        <v>1166842902.043159</v>
      </c>
      <c r="U53" s="114">
        <f t="shared" si="28"/>
        <v>1276498883.3391552</v>
      </c>
      <c r="V53" s="114">
        <f t="shared" si="28"/>
        <v>1358404703.7152307</v>
      </c>
      <c r="W53" s="114">
        <f t="shared" si="28"/>
        <v>1418763321.5026312</v>
      </c>
      <c r="X53" s="114">
        <f t="shared" si="28"/>
        <v>1349850267.7305298</v>
      </c>
      <c r="Y53" s="114">
        <f t="shared" si="28"/>
        <v>1492461595.5896657</v>
      </c>
      <c r="Z53" s="114">
        <f t="shared" si="28"/>
        <v>1624629719.1847942</v>
      </c>
      <c r="AA53" s="114">
        <f t="shared" si="28"/>
        <v>1690355321.1769977</v>
      </c>
      <c r="AB53" s="114">
        <f t="shared" si="28"/>
        <v>1581707045.564702</v>
      </c>
      <c r="AC53" s="114">
        <f t="shared" si="28"/>
        <v>1692667549.7931442</v>
      </c>
      <c r="AD53" s="114">
        <f t="shared" si="28"/>
        <v>1896212855.3407879</v>
      </c>
      <c r="AE53" s="114">
        <f t="shared" si="28"/>
        <v>1979983464.3660219</v>
      </c>
      <c r="AF53" s="114">
        <f t="shared" si="28"/>
        <v>2067390602.1554282</v>
      </c>
      <c r="AG53" s="114">
        <f t="shared" si="28"/>
        <v>2158588495.062861</v>
      </c>
    </row>
    <row r="54" spans="1:37" x14ac:dyDescent="0.4">
      <c r="B54" s="86" t="s">
        <v>110</v>
      </c>
      <c r="D54" s="147">
        <f t="shared" ref="D54" si="29">-D53*$H$10</f>
        <v>-283157711.87199998</v>
      </c>
      <c r="E54" s="147">
        <f t="shared" ref="E54:AG54" si="30">-E53*$H$10</f>
        <v>-265820021.53999665</v>
      </c>
      <c r="F54" s="147">
        <f t="shared" si="30"/>
        <v>-268389064.1117501</v>
      </c>
      <c r="G54" s="147">
        <f t="shared" si="30"/>
        <v>-273190721.74171656</v>
      </c>
      <c r="H54" s="147">
        <f t="shared" si="30"/>
        <v>-294939281.6584841</v>
      </c>
      <c r="I54" s="147">
        <f t="shared" si="30"/>
        <v>-325031339.91283023</v>
      </c>
      <c r="J54" s="147">
        <f t="shared" si="30"/>
        <v>-309566942.46119553</v>
      </c>
      <c r="K54" s="147">
        <f t="shared" si="30"/>
        <v>-272525843.29649568</v>
      </c>
      <c r="L54" s="147">
        <f t="shared" si="30"/>
        <v>-238279991.52557015</v>
      </c>
      <c r="M54" s="147">
        <f t="shared" si="30"/>
        <v>-286771675.89192092</v>
      </c>
      <c r="N54" s="147">
        <f t="shared" si="30"/>
        <v>-323073760.75679803</v>
      </c>
      <c r="O54" s="147">
        <f t="shared" si="30"/>
        <v>-364651195.86607438</v>
      </c>
      <c r="P54" s="147">
        <f t="shared" si="30"/>
        <v>-340386542.06878507</v>
      </c>
      <c r="Q54" s="147">
        <f t="shared" si="30"/>
        <v>-386633557.20650142</v>
      </c>
      <c r="R54" s="147">
        <f t="shared" si="30"/>
        <v>-353670594.56116194</v>
      </c>
      <c r="S54" s="147">
        <f t="shared" si="30"/>
        <v>-440383439.16476548</v>
      </c>
      <c r="T54" s="147">
        <f t="shared" si="30"/>
        <v>-408395015.71510565</v>
      </c>
      <c r="U54" s="147">
        <f t="shared" si="30"/>
        <v>-446774609.16870427</v>
      </c>
      <c r="V54" s="147">
        <f t="shared" si="30"/>
        <v>-475441646.3003307</v>
      </c>
      <c r="W54" s="147">
        <f t="shared" si="30"/>
        <v>-496567162.52592087</v>
      </c>
      <c r="X54" s="147">
        <f t="shared" si="30"/>
        <v>-472447593.70568538</v>
      </c>
      <c r="Y54" s="147">
        <f t="shared" si="30"/>
        <v>-522361558.45638293</v>
      </c>
      <c r="Z54" s="147">
        <f t="shared" si="30"/>
        <v>-568620401.71467793</v>
      </c>
      <c r="AA54" s="147">
        <f t="shared" si="30"/>
        <v>-591624362.41194916</v>
      </c>
      <c r="AB54" s="147">
        <f t="shared" si="30"/>
        <v>-553597465.94764566</v>
      </c>
      <c r="AC54" s="147">
        <f t="shared" si="30"/>
        <v>-592433642.42760038</v>
      </c>
      <c r="AD54" s="147">
        <f t="shared" si="30"/>
        <v>-663674499.36927569</v>
      </c>
      <c r="AE54" s="147">
        <f t="shared" si="30"/>
        <v>-692994212.52810764</v>
      </c>
      <c r="AF54" s="147">
        <f t="shared" si="30"/>
        <v>-723586710.75439978</v>
      </c>
      <c r="AG54" s="147">
        <f t="shared" si="30"/>
        <v>-755505973.27200127</v>
      </c>
    </row>
    <row r="55" spans="1:37" x14ac:dyDescent="0.4">
      <c r="B55" s="85" t="s">
        <v>111</v>
      </c>
      <c r="C55" s="85"/>
      <c r="D55" s="149">
        <f>D53+D54</f>
        <v>525864322.0480001</v>
      </c>
      <c r="E55" s="149">
        <f t="shared" ref="E55:AG55" si="31">E53+E54</f>
        <v>493665754.28856528</v>
      </c>
      <c r="F55" s="149">
        <f t="shared" si="31"/>
        <v>498436833.35039306</v>
      </c>
      <c r="G55" s="149">
        <f t="shared" si="31"/>
        <v>507354197.52033073</v>
      </c>
      <c r="H55" s="149">
        <f t="shared" si="31"/>
        <v>547744380.22289908</v>
      </c>
      <c r="I55" s="149">
        <f t="shared" si="31"/>
        <v>603629631.26668477</v>
      </c>
      <c r="J55" s="149">
        <f t="shared" si="31"/>
        <v>574910035.99936318</v>
      </c>
      <c r="K55" s="149">
        <f t="shared" si="31"/>
        <v>506119423.26492059</v>
      </c>
      <c r="L55" s="149">
        <f t="shared" si="31"/>
        <v>442519984.26177323</v>
      </c>
      <c r="M55" s="149">
        <f t="shared" si="31"/>
        <v>532575969.51356757</v>
      </c>
      <c r="N55" s="149">
        <f t="shared" si="31"/>
        <v>599994127.1197679</v>
      </c>
      <c r="O55" s="149">
        <f t="shared" si="31"/>
        <v>677209363.75128102</v>
      </c>
      <c r="P55" s="149">
        <f t="shared" si="31"/>
        <v>632146435.27060091</v>
      </c>
      <c r="Q55" s="149">
        <f t="shared" si="31"/>
        <v>718033749.09778833</v>
      </c>
      <c r="R55" s="149">
        <f t="shared" si="31"/>
        <v>656816818.47072935</v>
      </c>
      <c r="S55" s="149">
        <f t="shared" si="31"/>
        <v>817854958.44885027</v>
      </c>
      <c r="T55" s="149">
        <f t="shared" si="31"/>
        <v>758447886.32805336</v>
      </c>
      <c r="U55" s="149">
        <f t="shared" si="31"/>
        <v>829724274.17045093</v>
      </c>
      <c r="V55" s="149">
        <f t="shared" si="31"/>
        <v>882963057.41490006</v>
      </c>
      <c r="W55" s="149">
        <f t="shared" si="31"/>
        <v>922196158.97671032</v>
      </c>
      <c r="X55" s="149">
        <f t="shared" si="31"/>
        <v>877402674.02484441</v>
      </c>
      <c r="Y55" s="149">
        <f t="shared" si="31"/>
        <v>970100037.13328266</v>
      </c>
      <c r="Z55" s="149">
        <f t="shared" si="31"/>
        <v>1056009317.4701163</v>
      </c>
      <c r="AA55" s="149">
        <f t="shared" si="31"/>
        <v>1098730958.7650485</v>
      </c>
      <c r="AB55" s="149">
        <f t="shared" si="31"/>
        <v>1028109579.6170564</v>
      </c>
      <c r="AC55" s="149">
        <f t="shared" si="31"/>
        <v>1100233907.3655438</v>
      </c>
      <c r="AD55" s="149">
        <f t="shared" si="31"/>
        <v>1232538355.9715123</v>
      </c>
      <c r="AE55" s="149">
        <f t="shared" si="31"/>
        <v>1286989251.8379142</v>
      </c>
      <c r="AF55" s="149">
        <f t="shared" si="31"/>
        <v>1343803891.4010284</v>
      </c>
      <c r="AG55" s="149">
        <f t="shared" si="31"/>
        <v>1403082521.7908597</v>
      </c>
    </row>
    <row r="56" spans="1:37" ht="17.25" customHeight="1" x14ac:dyDescent="0.4">
      <c r="B56" s="86" t="s">
        <v>112</v>
      </c>
      <c r="C56" s="147">
        <f>D61-D54-SUM(D39:D42)-D36-D37</f>
        <v>1415868680</v>
      </c>
      <c r="D56" s="147">
        <f>D47</f>
        <v>469000000</v>
      </c>
      <c r="E56" s="147">
        <f t="shared" ref="E56:AG56" si="32">E47</f>
        <v>469000000</v>
      </c>
      <c r="F56" s="147">
        <f t="shared" si="32"/>
        <v>469000000</v>
      </c>
      <c r="G56" s="147">
        <f t="shared" si="32"/>
        <v>0</v>
      </c>
      <c r="H56" s="147">
        <f t="shared" si="32"/>
        <v>0</v>
      </c>
      <c r="I56" s="147">
        <f t="shared" si="32"/>
        <v>0</v>
      </c>
      <c r="J56" s="147">
        <f t="shared" si="32"/>
        <v>0</v>
      </c>
      <c r="K56" s="147">
        <f t="shared" si="32"/>
        <v>0</v>
      </c>
      <c r="L56" s="147">
        <f t="shared" si="32"/>
        <v>0</v>
      </c>
      <c r="M56" s="147">
        <f t="shared" si="32"/>
        <v>0</v>
      </c>
      <c r="N56" s="147">
        <f t="shared" si="32"/>
        <v>0</v>
      </c>
      <c r="O56" s="147">
        <f t="shared" si="32"/>
        <v>0</v>
      </c>
      <c r="P56" s="147">
        <f t="shared" si="32"/>
        <v>0</v>
      </c>
      <c r="Q56" s="147">
        <f t="shared" si="32"/>
        <v>0</v>
      </c>
      <c r="R56" s="147">
        <f t="shared" si="32"/>
        <v>0</v>
      </c>
      <c r="S56" s="147">
        <f t="shared" si="32"/>
        <v>0</v>
      </c>
      <c r="T56" s="147">
        <f t="shared" si="32"/>
        <v>0</v>
      </c>
      <c r="U56" s="147">
        <f t="shared" si="32"/>
        <v>0</v>
      </c>
      <c r="V56" s="147">
        <f t="shared" si="32"/>
        <v>0</v>
      </c>
      <c r="W56" s="147">
        <f t="shared" si="32"/>
        <v>0</v>
      </c>
      <c r="X56" s="147">
        <f t="shared" si="32"/>
        <v>0</v>
      </c>
      <c r="Y56" s="147">
        <f t="shared" si="32"/>
        <v>0</v>
      </c>
      <c r="Z56" s="147">
        <f t="shared" si="32"/>
        <v>0</v>
      </c>
      <c r="AA56" s="147">
        <f t="shared" si="32"/>
        <v>0</v>
      </c>
      <c r="AB56" s="147">
        <f t="shared" si="32"/>
        <v>0</v>
      </c>
      <c r="AC56" s="147">
        <f t="shared" si="32"/>
        <v>0</v>
      </c>
      <c r="AD56" s="147">
        <f t="shared" si="32"/>
        <v>0</v>
      </c>
      <c r="AE56" s="147">
        <f t="shared" si="32"/>
        <v>0</v>
      </c>
      <c r="AF56" s="147">
        <f t="shared" si="32"/>
        <v>0</v>
      </c>
      <c r="AG56" s="147">
        <f t="shared" si="32"/>
        <v>0</v>
      </c>
    </row>
    <row r="57" spans="1:37" ht="17.25" customHeight="1" x14ac:dyDescent="0.4">
      <c r="B57" s="86" t="s">
        <v>113</v>
      </c>
      <c r="D57" s="147">
        <f>D48</f>
        <v>0</v>
      </c>
      <c r="E57" s="147">
        <f t="shared" ref="E57:AG57" si="33">E48</f>
        <v>703500000</v>
      </c>
      <c r="F57" s="147">
        <f t="shared" si="33"/>
        <v>0</v>
      </c>
      <c r="G57" s="147">
        <f t="shared" si="33"/>
        <v>0</v>
      </c>
      <c r="H57" s="147">
        <f t="shared" si="33"/>
        <v>0</v>
      </c>
      <c r="I57" s="147">
        <f t="shared" si="33"/>
        <v>0</v>
      </c>
      <c r="J57" s="147">
        <f t="shared" si="33"/>
        <v>0</v>
      </c>
      <c r="K57" s="147">
        <f t="shared" si="33"/>
        <v>0</v>
      </c>
      <c r="L57" s="147">
        <f t="shared" si="33"/>
        <v>0</v>
      </c>
      <c r="M57" s="147">
        <f t="shared" si="33"/>
        <v>0</v>
      </c>
      <c r="N57" s="147">
        <f t="shared" si="33"/>
        <v>0</v>
      </c>
      <c r="O57" s="147">
        <f t="shared" si="33"/>
        <v>0</v>
      </c>
      <c r="P57" s="147">
        <f t="shared" si="33"/>
        <v>0</v>
      </c>
      <c r="Q57" s="147">
        <f t="shared" si="33"/>
        <v>0</v>
      </c>
      <c r="R57" s="147">
        <f t="shared" si="33"/>
        <v>0</v>
      </c>
      <c r="S57" s="147">
        <f t="shared" si="33"/>
        <v>0</v>
      </c>
      <c r="T57" s="147">
        <f t="shared" si="33"/>
        <v>0</v>
      </c>
      <c r="U57" s="147">
        <f t="shared" si="33"/>
        <v>0</v>
      </c>
      <c r="V57" s="147">
        <f t="shared" si="33"/>
        <v>0</v>
      </c>
      <c r="W57" s="147">
        <f t="shared" si="33"/>
        <v>0</v>
      </c>
      <c r="X57" s="147">
        <f t="shared" si="33"/>
        <v>0</v>
      </c>
      <c r="Y57" s="147">
        <f t="shared" si="33"/>
        <v>0</v>
      </c>
      <c r="Z57" s="147">
        <f t="shared" si="33"/>
        <v>0</v>
      </c>
      <c r="AA57" s="147">
        <f t="shared" si="33"/>
        <v>0</v>
      </c>
      <c r="AB57" s="147">
        <f t="shared" si="33"/>
        <v>0</v>
      </c>
      <c r="AC57" s="147">
        <f t="shared" si="33"/>
        <v>0</v>
      </c>
      <c r="AD57" s="147">
        <f t="shared" si="33"/>
        <v>0</v>
      </c>
      <c r="AE57" s="147">
        <f t="shared" si="33"/>
        <v>0</v>
      </c>
      <c r="AF57" s="147">
        <f t="shared" si="33"/>
        <v>0</v>
      </c>
      <c r="AG57" s="147">
        <f t="shared" si="33"/>
        <v>0</v>
      </c>
    </row>
    <row r="58" spans="1:37" x14ac:dyDescent="0.4">
      <c r="B58" s="85" t="s">
        <v>114</v>
      </c>
      <c r="C58" s="85"/>
      <c r="D58" s="149">
        <f>SUM(D55:D57)</f>
        <v>994864322.0480001</v>
      </c>
      <c r="E58" s="149">
        <f t="shared" ref="E58:AG58" si="34">SUM(E55:E57)</f>
        <v>1666165754.2885652</v>
      </c>
      <c r="F58" s="149">
        <f t="shared" si="34"/>
        <v>967436833.35039306</v>
      </c>
      <c r="G58" s="149">
        <f t="shared" si="34"/>
        <v>507354197.52033073</v>
      </c>
      <c r="H58" s="149">
        <f t="shared" si="34"/>
        <v>547744380.22289908</v>
      </c>
      <c r="I58" s="149">
        <f t="shared" si="34"/>
        <v>603629631.26668477</v>
      </c>
      <c r="J58" s="149">
        <f t="shared" si="34"/>
        <v>574910035.99936318</v>
      </c>
      <c r="K58" s="149">
        <f t="shared" si="34"/>
        <v>506119423.26492059</v>
      </c>
      <c r="L58" s="149">
        <f t="shared" si="34"/>
        <v>442519984.26177323</v>
      </c>
      <c r="M58" s="149">
        <f t="shared" si="34"/>
        <v>532575969.51356757</v>
      </c>
      <c r="N58" s="149">
        <f t="shared" si="34"/>
        <v>599994127.1197679</v>
      </c>
      <c r="O58" s="149">
        <f t="shared" si="34"/>
        <v>677209363.75128102</v>
      </c>
      <c r="P58" s="149">
        <f t="shared" si="34"/>
        <v>632146435.27060091</v>
      </c>
      <c r="Q58" s="149">
        <f t="shared" si="34"/>
        <v>718033749.09778833</v>
      </c>
      <c r="R58" s="149">
        <f t="shared" si="34"/>
        <v>656816818.47072935</v>
      </c>
      <c r="S58" s="149">
        <f t="shared" si="34"/>
        <v>817854958.44885027</v>
      </c>
      <c r="T58" s="149">
        <f t="shared" si="34"/>
        <v>758447886.32805336</v>
      </c>
      <c r="U58" s="149">
        <f t="shared" si="34"/>
        <v>829724274.17045093</v>
      </c>
      <c r="V58" s="149">
        <f t="shared" si="34"/>
        <v>882963057.41490006</v>
      </c>
      <c r="W58" s="149">
        <f t="shared" si="34"/>
        <v>922196158.97671032</v>
      </c>
      <c r="X58" s="149">
        <f t="shared" si="34"/>
        <v>877402674.02484441</v>
      </c>
      <c r="Y58" s="149">
        <f t="shared" si="34"/>
        <v>970100037.13328266</v>
      </c>
      <c r="Z58" s="149">
        <f t="shared" si="34"/>
        <v>1056009317.4701163</v>
      </c>
      <c r="AA58" s="149">
        <f t="shared" si="34"/>
        <v>1098730958.7650485</v>
      </c>
      <c r="AB58" s="149">
        <f t="shared" si="34"/>
        <v>1028109579.6170564</v>
      </c>
      <c r="AC58" s="149">
        <f t="shared" si="34"/>
        <v>1100233907.3655438</v>
      </c>
      <c r="AD58" s="149">
        <f t="shared" si="34"/>
        <v>1232538355.9715123</v>
      </c>
      <c r="AE58" s="149">
        <f t="shared" si="34"/>
        <v>1286989251.8379142</v>
      </c>
      <c r="AF58" s="149">
        <f t="shared" si="34"/>
        <v>1343803891.4010284</v>
      </c>
      <c r="AG58" s="149">
        <f t="shared" si="34"/>
        <v>1403082521.7908597</v>
      </c>
    </row>
    <row r="59" spans="1:37" x14ac:dyDescent="0.4">
      <c r="B59" s="86" t="s">
        <v>115</v>
      </c>
      <c r="D59" s="147">
        <v>0</v>
      </c>
      <c r="E59" s="147">
        <v>1</v>
      </c>
      <c r="F59" s="147">
        <v>2</v>
      </c>
      <c r="G59" s="147">
        <v>3</v>
      </c>
      <c r="H59" s="147">
        <v>4</v>
      </c>
      <c r="I59" s="147">
        <v>5</v>
      </c>
      <c r="J59" s="147">
        <v>6</v>
      </c>
      <c r="K59" s="147">
        <v>7</v>
      </c>
      <c r="L59" s="147">
        <v>8</v>
      </c>
      <c r="M59" s="147">
        <v>9</v>
      </c>
      <c r="N59" s="147">
        <v>10</v>
      </c>
      <c r="O59" s="147">
        <v>11</v>
      </c>
      <c r="P59" s="147">
        <v>12</v>
      </c>
      <c r="Q59" s="147">
        <v>13</v>
      </c>
      <c r="R59" s="147">
        <v>14</v>
      </c>
      <c r="S59" s="147">
        <v>15</v>
      </c>
      <c r="T59" s="147">
        <v>16</v>
      </c>
      <c r="U59" s="147">
        <v>17</v>
      </c>
      <c r="V59" s="147">
        <v>18</v>
      </c>
      <c r="W59" s="147">
        <v>19</v>
      </c>
      <c r="X59" s="147">
        <v>20</v>
      </c>
      <c r="Y59" s="147">
        <v>21</v>
      </c>
      <c r="Z59" s="147">
        <v>22</v>
      </c>
      <c r="AA59" s="147">
        <v>23</v>
      </c>
      <c r="AB59" s="147">
        <v>24</v>
      </c>
      <c r="AC59" s="147">
        <v>25</v>
      </c>
      <c r="AD59" s="147">
        <v>26</v>
      </c>
      <c r="AE59" s="147">
        <v>27</v>
      </c>
      <c r="AF59" s="147">
        <v>28</v>
      </c>
      <c r="AG59" s="147">
        <v>29</v>
      </c>
    </row>
    <row r="60" spans="1:37" x14ac:dyDescent="0.4">
      <c r="B60" s="86" t="s">
        <v>116</v>
      </c>
      <c r="C60" s="147">
        <f>C29</f>
        <v>-4020000000</v>
      </c>
      <c r="D60" s="147">
        <f>D29</f>
        <v>0</v>
      </c>
      <c r="E60" s="147">
        <f t="shared" ref="E60:AG60" si="35">E29</f>
        <v>0</v>
      </c>
      <c r="F60" s="147">
        <f t="shared" si="35"/>
        <v>0</v>
      </c>
      <c r="G60" s="147">
        <f t="shared" si="35"/>
        <v>0</v>
      </c>
      <c r="H60" s="147">
        <f t="shared" si="35"/>
        <v>0</v>
      </c>
      <c r="I60" s="147">
        <f t="shared" si="35"/>
        <v>0</v>
      </c>
      <c r="J60" s="147">
        <f t="shared" si="35"/>
        <v>0</v>
      </c>
      <c r="K60" s="147">
        <f t="shared" si="35"/>
        <v>0</v>
      </c>
      <c r="L60" s="147">
        <f t="shared" si="35"/>
        <v>0</v>
      </c>
      <c r="M60" s="147">
        <f t="shared" si="35"/>
        <v>-198725144.46684787</v>
      </c>
      <c r="N60" s="147">
        <f t="shared" si="35"/>
        <v>0</v>
      </c>
      <c r="O60" s="147">
        <f t="shared" si="35"/>
        <v>0</v>
      </c>
      <c r="P60" s="147">
        <f t="shared" si="35"/>
        <v>0</v>
      </c>
      <c r="Q60" s="147">
        <f t="shared" si="35"/>
        <v>0</v>
      </c>
      <c r="R60" s="147">
        <f t="shared" si="35"/>
        <v>0</v>
      </c>
      <c r="S60" s="147">
        <f t="shared" si="35"/>
        <v>0</v>
      </c>
      <c r="T60" s="147">
        <f t="shared" si="35"/>
        <v>0</v>
      </c>
      <c r="U60" s="147">
        <f t="shared" si="35"/>
        <v>0</v>
      </c>
      <c r="V60" s="147">
        <f t="shared" si="35"/>
        <v>0</v>
      </c>
      <c r="W60" s="147">
        <f t="shared" si="35"/>
        <v>-323702320.02761936</v>
      </c>
      <c r="X60" s="147">
        <f t="shared" si="35"/>
        <v>0</v>
      </c>
      <c r="Y60" s="147">
        <f t="shared" si="35"/>
        <v>0</v>
      </c>
      <c r="Z60" s="147">
        <f t="shared" si="35"/>
        <v>0</v>
      </c>
      <c r="AA60" s="147">
        <f t="shared" si="35"/>
        <v>0</v>
      </c>
      <c r="AB60" s="147">
        <f t="shared" si="35"/>
        <v>0</v>
      </c>
      <c r="AC60" s="147">
        <f t="shared" si="35"/>
        <v>0</v>
      </c>
      <c r="AD60" s="147">
        <f t="shared" si="35"/>
        <v>0</v>
      </c>
      <c r="AE60" s="147">
        <f t="shared" si="35"/>
        <v>0</v>
      </c>
      <c r="AF60" s="147">
        <f t="shared" si="35"/>
        <v>0</v>
      </c>
      <c r="AG60" s="147">
        <f t="shared" si="35"/>
        <v>0</v>
      </c>
    </row>
    <row r="61" spans="1:37" x14ac:dyDescent="0.4">
      <c r="B61" s="85" t="s">
        <v>117</v>
      </c>
      <c r="C61" s="150">
        <f>SUM(C58:C60)</f>
        <v>-4020000000</v>
      </c>
      <c r="D61" s="150">
        <f>SUM(D58:D60)</f>
        <v>994864322.0480001</v>
      </c>
      <c r="E61" s="150">
        <f t="shared" ref="E61:AG61" si="36">SUM(E58:E60)</f>
        <v>1666165755.2885652</v>
      </c>
      <c r="F61" s="150">
        <f t="shared" si="36"/>
        <v>967436835.35039306</v>
      </c>
      <c r="G61" s="150">
        <f t="shared" si="36"/>
        <v>507354200.52033073</v>
      </c>
      <c r="H61" s="150">
        <f t="shared" si="36"/>
        <v>547744384.22289908</v>
      </c>
      <c r="I61" s="150">
        <f t="shared" si="36"/>
        <v>603629636.26668477</v>
      </c>
      <c r="J61" s="150">
        <f t="shared" si="36"/>
        <v>574910041.99936318</v>
      </c>
      <c r="K61" s="150">
        <f t="shared" si="36"/>
        <v>506119430.26492059</v>
      </c>
      <c r="L61" s="150">
        <f t="shared" si="36"/>
        <v>442519992.26177323</v>
      </c>
      <c r="M61" s="150">
        <f t="shared" si="36"/>
        <v>333850834.04671967</v>
      </c>
      <c r="N61" s="150">
        <f t="shared" si="36"/>
        <v>599994137.1197679</v>
      </c>
      <c r="O61" s="150">
        <f t="shared" si="36"/>
        <v>677209374.75128102</v>
      </c>
      <c r="P61" s="150">
        <f t="shared" si="36"/>
        <v>632146447.27060091</v>
      </c>
      <c r="Q61" s="150">
        <f t="shared" si="36"/>
        <v>718033762.09778833</v>
      </c>
      <c r="R61" s="150">
        <f t="shared" si="36"/>
        <v>656816832.47072935</v>
      </c>
      <c r="S61" s="150">
        <f t="shared" si="36"/>
        <v>817854973.44885027</v>
      </c>
      <c r="T61" s="150">
        <f t="shared" si="36"/>
        <v>758447902.32805336</v>
      </c>
      <c r="U61" s="150">
        <f t="shared" si="36"/>
        <v>829724291.17045093</v>
      </c>
      <c r="V61" s="150">
        <f t="shared" si="36"/>
        <v>882963075.41490006</v>
      </c>
      <c r="W61" s="150">
        <f t="shared" si="36"/>
        <v>598493857.94909096</v>
      </c>
      <c r="X61" s="150">
        <f t="shared" si="36"/>
        <v>877402694.02484441</v>
      </c>
      <c r="Y61" s="150">
        <f t="shared" si="36"/>
        <v>970100058.13328266</v>
      </c>
      <c r="Z61" s="150">
        <f t="shared" si="36"/>
        <v>1056009339.4701163</v>
      </c>
      <c r="AA61" s="150">
        <f t="shared" si="36"/>
        <v>1098730981.7650485</v>
      </c>
      <c r="AB61" s="150">
        <f t="shared" si="36"/>
        <v>1028109603.6170564</v>
      </c>
      <c r="AC61" s="150">
        <f t="shared" si="36"/>
        <v>1100233932.3655438</v>
      </c>
      <c r="AD61" s="150">
        <f t="shared" si="36"/>
        <v>1232538381.9715123</v>
      </c>
      <c r="AE61" s="150">
        <f t="shared" si="36"/>
        <v>1286989278.8379142</v>
      </c>
      <c r="AF61" s="150">
        <f t="shared" si="36"/>
        <v>1343803919.4010284</v>
      </c>
      <c r="AG61" s="150">
        <f t="shared" si="36"/>
        <v>1403082550.7908597</v>
      </c>
    </row>
    <row r="62" spans="1:37" x14ac:dyDescent="0.4">
      <c r="B62" s="86" t="s">
        <v>118</v>
      </c>
      <c r="C62" s="147">
        <f>IF(D19="Si",D21,0)</f>
        <v>2814000000</v>
      </c>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row>
    <row r="63" spans="1:37" x14ac:dyDescent="0.4">
      <c r="B63" s="86" t="s">
        <v>51</v>
      </c>
      <c r="D63" s="147">
        <f>IF($D$19="Si",-Amortizaciones!B35,0)</f>
        <v>0</v>
      </c>
      <c r="E63" s="147">
        <f ca="1">IF($D$19="Si",-Amortizaciones!C35,0)</f>
        <v>-263153236.99070632</v>
      </c>
      <c r="F63" s="147">
        <f ca="1">IF($D$19="Si",-Amortizaciones!D35,0)</f>
        <v>-312355883.72929174</v>
      </c>
      <c r="G63" s="147">
        <f ca="1">IF($D$19="Si",-Amortizaciones!E35,0)</f>
        <v>-341092625.03238636</v>
      </c>
      <c r="H63" s="147">
        <f ca="1">IF($D$19="Si",-Amortizaciones!F35,0)</f>
        <v>-372473146.53536582</v>
      </c>
      <c r="I63" s="147">
        <f ca="1">IF($D$19="Si",-Amortizaciones!G35,0)</f>
        <v>-406740676.01661921</v>
      </c>
      <c r="J63" s="147">
        <f ca="1">IF($D$19="Si",-Amortizaciones!H35,0)</f>
        <v>-444160818.21014804</v>
      </c>
      <c r="K63" s="147">
        <f ca="1">IF($D$19="Si",-Amortizaciones!I35,0)</f>
        <v>-485023613.48548156</v>
      </c>
      <c r="L63" s="147">
        <f ca="1">IF($D$19="Si",-Amortizaciones!J35,0)</f>
        <v>0</v>
      </c>
      <c r="M63" s="147">
        <f ca="1">IF($D$19="Si",-Amortizaciones!K35,0)</f>
        <v>0</v>
      </c>
      <c r="N63" s="147">
        <f>IF($D$19="Si",-Amortizaciones!L35,0)</f>
        <v>0</v>
      </c>
      <c r="O63" s="147">
        <f>IF($D$19="Si",-Amortizaciones!M35,0)</f>
        <v>0</v>
      </c>
      <c r="P63" s="147">
        <f>IF($D$19="Si",-Amortizaciones!N35,0)</f>
        <v>0</v>
      </c>
      <c r="Q63" s="147">
        <f>IF($D$19="Si",-Amortizaciones!O35,0)</f>
        <v>0</v>
      </c>
      <c r="R63" s="147">
        <f>IF($D$19="Si",-Amortizaciones!P35,0)</f>
        <v>0</v>
      </c>
      <c r="S63" s="147">
        <f>IF($D$19="Si",-Amortizaciones!Q35,0)</f>
        <v>0</v>
      </c>
      <c r="T63" s="147">
        <f>IF($D$19="Si",-Amortizaciones!R35,0)</f>
        <v>0</v>
      </c>
      <c r="U63" s="147">
        <f>IF($D$19="Si",-Amortizaciones!S35,0)</f>
        <v>0</v>
      </c>
      <c r="V63" s="147">
        <f>IF($D$19="Si",-Amortizaciones!T35,0)</f>
        <v>0</v>
      </c>
      <c r="W63" s="147">
        <f>IF($D$19="Si",-Amortizaciones!U35,0)</f>
        <v>0</v>
      </c>
      <c r="X63" s="147">
        <f>IF($D$19="Si",-Amortizaciones!V35,0)</f>
        <v>0</v>
      </c>
      <c r="Y63" s="147">
        <f>IF($D$19="Si",-Amortizaciones!W35,0)</f>
        <v>0</v>
      </c>
      <c r="Z63" s="147">
        <f>IF($D$19="Si",-Amortizaciones!X35,0)</f>
        <v>0</v>
      </c>
      <c r="AA63" s="147">
        <f>IF($D$19="Si",-Amortizaciones!Y35,0)</f>
        <v>0</v>
      </c>
      <c r="AB63" s="147">
        <f>IF($D$19="Si",-Amortizaciones!Z35,0)</f>
        <v>0</v>
      </c>
      <c r="AC63" s="147">
        <f>IF($D$19="Si",-Amortizaciones!AA35,0)</f>
        <v>0</v>
      </c>
      <c r="AD63" s="147">
        <f>IF($D$19="Si",-Amortizaciones!AB35,0)</f>
        <v>0</v>
      </c>
      <c r="AE63" s="147">
        <f>IF($D$19="Si",-Amortizaciones!AC35,0)</f>
        <v>0</v>
      </c>
      <c r="AF63" s="147">
        <f>IF($D$19="Si",-Amortizaciones!AD35,0)</f>
        <v>0</v>
      </c>
      <c r="AG63" s="147">
        <f>IF($D$19="Si",-Amortizaciones!AE35,0)</f>
        <v>0</v>
      </c>
    </row>
    <row r="64" spans="1:37" x14ac:dyDescent="0.4">
      <c r="B64" s="86" t="s">
        <v>54</v>
      </c>
      <c r="D64" s="147">
        <f>IF($D$19="Si",-Amortizaciones!B34,0)</f>
        <v>-193023090.7389532</v>
      </c>
      <c r="E64" s="147">
        <f ca="1">IF($D$19="Si",-Amortizaciones!C34,0)</f>
        <v>-222334275.56287283</v>
      </c>
      <c r="F64" s="147">
        <f ca="1">IF($D$19="Si",-Amortizaciones!D34,0)</f>
        <v>-196187053.83924085</v>
      </c>
      <c r="G64" s="147">
        <f ca="1">IF($D$19="Si",-Amortizaciones!E34,0)</f>
        <v>-182134775.40720579</v>
      </c>
      <c r="H64" s="147">
        <f ca="1">IF($D$19="Si",-Amortizaciones!F34,0)</f>
        <v>-152105224.48836386</v>
      </c>
      <c r="I64" s="147">
        <f ca="1">IF($D$19="Si",-Amortizaciones!G34,0)</f>
        <v>-119312954.88498846</v>
      </c>
      <c r="J64" s="147">
        <f ca="1">IF($D$19="Si",-Amortizaciones!H34,0)</f>
        <v>-83503796.478102535</v>
      </c>
      <c r="K64" s="147">
        <f ca="1">IF($D$19="Si",-Amortizaciones!I34,0)</f>
        <v>-44400195.497783162</v>
      </c>
      <c r="L64" s="147">
        <f ca="1">IF($D$19="Si",-Amortizaciones!J34,0)</f>
        <v>-6424603.7311389195</v>
      </c>
      <c r="M64" s="147">
        <f ca="1">IF($D$19="Si",-Amortizaciones!K34,0)</f>
        <v>0</v>
      </c>
      <c r="N64" s="147">
        <f>IF($D$19="Si",-Amortizaciones!L34,0)</f>
        <v>0</v>
      </c>
      <c r="O64" s="147">
        <f>IF($D$19="Si",-Amortizaciones!M34,0)</f>
        <v>0</v>
      </c>
      <c r="P64" s="147">
        <f>IF($D$19="Si",-Amortizaciones!N34,0)</f>
        <v>0</v>
      </c>
      <c r="Q64" s="147">
        <f>IF($D$19="Si",-Amortizaciones!O34,0)</f>
        <v>0</v>
      </c>
      <c r="R64" s="147">
        <f>IF($D$19="Si",-Amortizaciones!P34,0)</f>
        <v>0</v>
      </c>
      <c r="S64" s="147">
        <f>IF($D$19="Si",-Amortizaciones!Q34,0)</f>
        <v>0</v>
      </c>
      <c r="T64" s="147">
        <f>IF($D$19="Si",-Amortizaciones!R34,0)</f>
        <v>0</v>
      </c>
      <c r="U64" s="147">
        <f>IF($D$19="Si",-Amortizaciones!S34,0)</f>
        <v>0</v>
      </c>
      <c r="V64" s="147">
        <f>IF($D$19="Si",-Amortizaciones!T34,0)</f>
        <v>0</v>
      </c>
      <c r="W64" s="147">
        <f>IF($D$19="Si",-Amortizaciones!U34,0)</f>
        <v>0</v>
      </c>
      <c r="X64" s="147">
        <f>IF($D$19="Si",-Amortizaciones!V34,0)</f>
        <v>0</v>
      </c>
      <c r="Y64" s="147">
        <f>IF($D$19="Si",-Amortizaciones!W34,0)</f>
        <v>0</v>
      </c>
      <c r="Z64" s="147">
        <f>IF($D$19="Si",-Amortizaciones!X34,0)</f>
        <v>0</v>
      </c>
      <c r="AA64" s="147">
        <f>IF($D$19="Si",-Amortizaciones!Y34,0)</f>
        <v>0</v>
      </c>
      <c r="AB64" s="147">
        <f>IF($D$19="Si",-Amortizaciones!Z34,0)</f>
        <v>0</v>
      </c>
      <c r="AC64" s="147">
        <f>IF($D$19="Si",-Amortizaciones!AA34,0)</f>
        <v>0</v>
      </c>
      <c r="AD64" s="147">
        <f>IF($D$19="Si",-Amortizaciones!AB34,0)</f>
        <v>0</v>
      </c>
      <c r="AE64" s="147">
        <f>IF($D$19="Si",-Amortizaciones!AC34,0)</f>
        <v>0</v>
      </c>
      <c r="AF64" s="147">
        <f>IF($D$19="Si",-Amortizaciones!AD34,0)</f>
        <v>0</v>
      </c>
      <c r="AG64" s="147">
        <f>IF($D$19="Si",-Amortizaciones!AE34,0)</f>
        <v>0</v>
      </c>
    </row>
    <row r="65" spans="2:33" x14ac:dyDescent="0.4">
      <c r="B65" s="86" t="s">
        <v>119</v>
      </c>
      <c r="D65" s="146">
        <f t="shared" ref="D65" si="37">IF($D$19="Si",-D64*$H$10,0)</f>
        <v>67558081.758633614</v>
      </c>
      <c r="E65" s="146">
        <f t="shared" ref="E65:AG65" ca="1" si="38">IF($D$19="Si",-E64*$H$10,0)</f>
        <v>77816996.447005481</v>
      </c>
      <c r="F65" s="146">
        <f t="shared" ca="1" si="38"/>
        <v>68665468.843734294</v>
      </c>
      <c r="G65" s="146">
        <f t="shared" ca="1" si="38"/>
        <v>63747171.392522022</v>
      </c>
      <c r="H65" s="146">
        <f t="shared" ca="1" si="38"/>
        <v>53236828.570927352</v>
      </c>
      <c r="I65" s="146">
        <f t="shared" ca="1" si="38"/>
        <v>41759534.209745958</v>
      </c>
      <c r="J65" s="146">
        <f t="shared" ca="1" si="38"/>
        <v>29226328.767335884</v>
      </c>
      <c r="K65" s="146">
        <f t="shared" ca="1" si="38"/>
        <v>15540068.424224105</v>
      </c>
      <c r="L65" s="146">
        <f t="shared" ca="1" si="38"/>
        <v>2248611.3058986217</v>
      </c>
      <c r="M65" s="146">
        <f t="shared" ca="1" si="38"/>
        <v>0</v>
      </c>
      <c r="N65" s="146">
        <f t="shared" si="38"/>
        <v>0</v>
      </c>
      <c r="O65" s="146">
        <f t="shared" si="38"/>
        <v>0</v>
      </c>
      <c r="P65" s="146">
        <f t="shared" si="38"/>
        <v>0</v>
      </c>
      <c r="Q65" s="146">
        <f t="shared" si="38"/>
        <v>0</v>
      </c>
      <c r="R65" s="146">
        <f t="shared" si="38"/>
        <v>0</v>
      </c>
      <c r="S65" s="146">
        <f t="shared" si="38"/>
        <v>0</v>
      </c>
      <c r="T65" s="146">
        <f t="shared" si="38"/>
        <v>0</v>
      </c>
      <c r="U65" s="146">
        <f t="shared" si="38"/>
        <v>0</v>
      </c>
      <c r="V65" s="146">
        <f t="shared" si="38"/>
        <v>0</v>
      </c>
      <c r="W65" s="146">
        <f t="shared" si="38"/>
        <v>0</v>
      </c>
      <c r="X65" s="146">
        <f t="shared" si="38"/>
        <v>0</v>
      </c>
      <c r="Y65" s="146">
        <f t="shared" si="38"/>
        <v>0</v>
      </c>
      <c r="Z65" s="146">
        <f t="shared" si="38"/>
        <v>0</v>
      </c>
      <c r="AA65" s="146">
        <f t="shared" si="38"/>
        <v>0</v>
      </c>
      <c r="AB65" s="146">
        <f t="shared" si="38"/>
        <v>0</v>
      </c>
      <c r="AC65" s="146">
        <f t="shared" si="38"/>
        <v>0</v>
      </c>
      <c r="AD65" s="146">
        <f t="shared" si="38"/>
        <v>0</v>
      </c>
      <c r="AE65" s="146">
        <f t="shared" si="38"/>
        <v>0</v>
      </c>
      <c r="AF65" s="146">
        <f t="shared" si="38"/>
        <v>0</v>
      </c>
      <c r="AG65" s="146">
        <f t="shared" si="38"/>
        <v>0</v>
      </c>
    </row>
    <row r="66" spans="2:33" x14ac:dyDescent="0.4">
      <c r="B66" s="85" t="s">
        <v>120</v>
      </c>
      <c r="C66" s="149">
        <f>SUM(C61:C65)</f>
        <v>-1206000000</v>
      </c>
      <c r="D66" s="149">
        <f>SUM(D61:D65)</f>
        <v>869399313.06768048</v>
      </c>
      <c r="E66" s="149">
        <f t="shared" ref="E66:AG66" ca="1" si="39">SUM(E61:E65)</f>
        <v>1258495239.1819913</v>
      </c>
      <c r="F66" s="149">
        <f t="shared" ca="1" si="39"/>
        <v>527559366.62559485</v>
      </c>
      <c r="G66" s="149">
        <f t="shared" ca="1" si="39"/>
        <v>47873971.473260596</v>
      </c>
      <c r="H66" s="149">
        <f t="shared" ca="1" si="39"/>
        <v>76402841.770096749</v>
      </c>
      <c r="I66" s="149">
        <f t="shared" ca="1" si="39"/>
        <v>119335539.57482307</v>
      </c>
      <c r="J66" s="149">
        <f t="shared" ca="1" si="39"/>
        <v>76471756.078448504</v>
      </c>
      <c r="K66" s="149">
        <f t="shared" ca="1" si="39"/>
        <v>-7764310.2941200249</v>
      </c>
      <c r="L66" s="149">
        <f t="shared" ca="1" si="39"/>
        <v>438343999.83653289</v>
      </c>
      <c r="M66" s="149">
        <f t="shared" ca="1" si="39"/>
        <v>333850834.04671967</v>
      </c>
      <c r="N66" s="149">
        <f t="shared" si="39"/>
        <v>599994137.1197679</v>
      </c>
      <c r="O66" s="149">
        <f t="shared" si="39"/>
        <v>677209374.75128102</v>
      </c>
      <c r="P66" s="149">
        <f t="shared" si="39"/>
        <v>632146447.27060091</v>
      </c>
      <c r="Q66" s="149">
        <f t="shared" si="39"/>
        <v>718033762.09778833</v>
      </c>
      <c r="R66" s="149">
        <f t="shared" si="39"/>
        <v>656816832.47072935</v>
      </c>
      <c r="S66" s="149">
        <f t="shared" si="39"/>
        <v>817854973.44885027</v>
      </c>
      <c r="T66" s="149">
        <f t="shared" si="39"/>
        <v>758447902.32805336</v>
      </c>
      <c r="U66" s="149">
        <f t="shared" si="39"/>
        <v>829724291.17045093</v>
      </c>
      <c r="V66" s="149">
        <f t="shared" si="39"/>
        <v>882963075.41490006</v>
      </c>
      <c r="W66" s="149">
        <f t="shared" si="39"/>
        <v>598493857.94909096</v>
      </c>
      <c r="X66" s="149">
        <f t="shared" si="39"/>
        <v>877402694.02484441</v>
      </c>
      <c r="Y66" s="149">
        <f t="shared" si="39"/>
        <v>970100058.13328266</v>
      </c>
      <c r="Z66" s="149">
        <f t="shared" si="39"/>
        <v>1056009339.4701163</v>
      </c>
      <c r="AA66" s="149">
        <f t="shared" si="39"/>
        <v>1098730981.7650485</v>
      </c>
      <c r="AB66" s="149">
        <f t="shared" si="39"/>
        <v>1028109603.6170564</v>
      </c>
      <c r="AC66" s="149">
        <f t="shared" si="39"/>
        <v>1100233932.3655438</v>
      </c>
      <c r="AD66" s="149">
        <f t="shared" si="39"/>
        <v>1232538381.9715123</v>
      </c>
      <c r="AE66" s="149">
        <f t="shared" si="39"/>
        <v>1286989278.8379142</v>
      </c>
      <c r="AF66" s="149">
        <f t="shared" si="39"/>
        <v>1343803919.4010284</v>
      </c>
      <c r="AG66" s="149">
        <f t="shared" si="39"/>
        <v>1403082550.7908597</v>
      </c>
    </row>
    <row r="67" spans="2:33" x14ac:dyDescent="0.4">
      <c r="B67" s="86" t="s">
        <v>121</v>
      </c>
      <c r="D67" s="147">
        <f>-D66</f>
        <v>-869399313.06768048</v>
      </c>
      <c r="E67" s="147">
        <f t="shared" ref="E67:AG67" ca="1" si="40">-E66</f>
        <v>-1258495239.1819913</v>
      </c>
      <c r="F67" s="147">
        <f t="shared" ca="1" si="40"/>
        <v>-527559366.62559485</v>
      </c>
      <c r="G67" s="147">
        <f t="shared" ca="1" si="40"/>
        <v>-47873971.473260596</v>
      </c>
      <c r="H67" s="147">
        <f t="shared" ca="1" si="40"/>
        <v>-76402841.770096749</v>
      </c>
      <c r="I67" s="147">
        <f t="shared" ca="1" si="40"/>
        <v>-119335539.57482307</v>
      </c>
      <c r="J67" s="147">
        <f t="shared" ca="1" si="40"/>
        <v>-76471756.078448504</v>
      </c>
      <c r="K67" s="147">
        <f t="shared" ca="1" si="40"/>
        <v>7764310.2941200249</v>
      </c>
      <c r="L67" s="147">
        <f t="shared" ca="1" si="40"/>
        <v>-438343999.83653289</v>
      </c>
      <c r="M67" s="147">
        <f t="shared" ca="1" si="40"/>
        <v>-333850834.04671967</v>
      </c>
      <c r="N67" s="147">
        <f t="shared" si="40"/>
        <v>-599994137.1197679</v>
      </c>
      <c r="O67" s="147">
        <f t="shared" si="40"/>
        <v>-677209374.75128102</v>
      </c>
      <c r="P67" s="147">
        <f t="shared" si="40"/>
        <v>-632146447.27060091</v>
      </c>
      <c r="Q67" s="147">
        <f t="shared" si="40"/>
        <v>-718033762.09778833</v>
      </c>
      <c r="R67" s="147">
        <f t="shared" si="40"/>
        <v>-656816832.47072935</v>
      </c>
      <c r="S67" s="147">
        <f t="shared" si="40"/>
        <v>-817854973.44885027</v>
      </c>
      <c r="T67" s="147">
        <f t="shared" si="40"/>
        <v>-758447902.32805336</v>
      </c>
      <c r="U67" s="147">
        <f t="shared" si="40"/>
        <v>-829724291.17045093</v>
      </c>
      <c r="V67" s="147">
        <f t="shared" si="40"/>
        <v>-882963075.41490006</v>
      </c>
      <c r="W67" s="147">
        <f t="shared" si="40"/>
        <v>-598493857.94909096</v>
      </c>
      <c r="X67" s="147">
        <f t="shared" si="40"/>
        <v>-877402694.02484441</v>
      </c>
      <c r="Y67" s="147">
        <f t="shared" si="40"/>
        <v>-970100058.13328266</v>
      </c>
      <c r="Z67" s="147">
        <f t="shared" si="40"/>
        <v>-1056009339.4701163</v>
      </c>
      <c r="AA67" s="147">
        <f t="shared" si="40"/>
        <v>-1098730981.7650485</v>
      </c>
      <c r="AB67" s="147">
        <f t="shared" si="40"/>
        <v>-1028109603.6170564</v>
      </c>
      <c r="AC67" s="147">
        <f t="shared" si="40"/>
        <v>-1100233932.3655438</v>
      </c>
      <c r="AD67" s="147">
        <f t="shared" si="40"/>
        <v>-1232538381.9715123</v>
      </c>
      <c r="AE67" s="147">
        <f t="shared" si="40"/>
        <v>-1286989278.8379142</v>
      </c>
      <c r="AF67" s="147">
        <f t="shared" si="40"/>
        <v>-1343803919.4010284</v>
      </c>
      <c r="AG67" s="147">
        <f t="shared" si="40"/>
        <v>-1403082550.7908597</v>
      </c>
    </row>
    <row r="68" spans="2:33" x14ac:dyDescent="0.4">
      <c r="B68" s="86" t="s">
        <v>122</v>
      </c>
      <c r="C68" s="147">
        <f>-C66</f>
        <v>1206000000</v>
      </c>
    </row>
    <row r="69" spans="2:33" x14ac:dyDescent="0.4">
      <c r="B69" s="86" t="s">
        <v>123</v>
      </c>
      <c r="D69" s="147">
        <f>SUM(D66:D68)</f>
        <v>0</v>
      </c>
      <c r="E69" s="147">
        <f t="shared" ref="E69:AG69" ca="1" si="41">SUM(E66:E68)</f>
        <v>0</v>
      </c>
      <c r="F69" s="147">
        <f t="shared" ca="1" si="41"/>
        <v>0</v>
      </c>
      <c r="G69" s="147">
        <f t="shared" ca="1" si="41"/>
        <v>0</v>
      </c>
      <c r="H69" s="147">
        <f t="shared" ca="1" si="41"/>
        <v>0</v>
      </c>
      <c r="I69" s="147">
        <f t="shared" ca="1" si="41"/>
        <v>0</v>
      </c>
      <c r="J69" s="147">
        <f t="shared" ca="1" si="41"/>
        <v>0</v>
      </c>
      <c r="K69" s="147">
        <f t="shared" ca="1" si="41"/>
        <v>0</v>
      </c>
      <c r="L69" s="147">
        <f t="shared" ca="1" si="41"/>
        <v>0</v>
      </c>
      <c r="M69" s="147">
        <f t="shared" ca="1" si="41"/>
        <v>0</v>
      </c>
      <c r="N69" s="147">
        <f t="shared" si="41"/>
        <v>0</v>
      </c>
      <c r="O69" s="147">
        <f t="shared" si="41"/>
        <v>0</v>
      </c>
      <c r="P69" s="147">
        <f t="shared" si="41"/>
        <v>0</v>
      </c>
      <c r="Q69" s="147">
        <f t="shared" si="41"/>
        <v>0</v>
      </c>
      <c r="R69" s="147">
        <f t="shared" si="41"/>
        <v>0</v>
      </c>
      <c r="S69" s="147">
        <f t="shared" si="41"/>
        <v>0</v>
      </c>
      <c r="T69" s="147">
        <f t="shared" si="41"/>
        <v>0</v>
      </c>
      <c r="U69" s="147">
        <f t="shared" si="41"/>
        <v>0</v>
      </c>
      <c r="V69" s="147">
        <f t="shared" si="41"/>
        <v>0</v>
      </c>
      <c r="W69" s="147">
        <f t="shared" si="41"/>
        <v>0</v>
      </c>
      <c r="X69" s="147">
        <f t="shared" si="41"/>
        <v>0</v>
      </c>
      <c r="Y69" s="147">
        <f t="shared" si="41"/>
        <v>0</v>
      </c>
      <c r="Z69" s="147">
        <f t="shared" si="41"/>
        <v>0</v>
      </c>
      <c r="AA69" s="147">
        <f t="shared" si="41"/>
        <v>0</v>
      </c>
      <c r="AB69" s="147">
        <f t="shared" si="41"/>
        <v>0</v>
      </c>
      <c r="AC69" s="147">
        <f t="shared" si="41"/>
        <v>0</v>
      </c>
      <c r="AD69" s="147">
        <f t="shared" si="41"/>
        <v>0</v>
      </c>
      <c r="AE69" s="147">
        <f t="shared" si="41"/>
        <v>0</v>
      </c>
      <c r="AF69" s="147">
        <f t="shared" si="41"/>
        <v>0</v>
      </c>
      <c r="AG69" s="147">
        <f t="shared" si="41"/>
        <v>0</v>
      </c>
    </row>
    <row r="70" spans="2:33" x14ac:dyDescent="0.4">
      <c r="B70" s="86" t="s">
        <v>124</v>
      </c>
      <c r="D70" s="86">
        <f>C71</f>
        <v>0</v>
      </c>
      <c r="E70" s="86">
        <f t="shared" ref="E70:AG70" si="42">D71</f>
        <v>0</v>
      </c>
      <c r="F70" s="86">
        <f t="shared" ca="1" si="42"/>
        <v>0</v>
      </c>
      <c r="G70" s="86">
        <f t="shared" ca="1" si="42"/>
        <v>0</v>
      </c>
      <c r="H70" s="86">
        <f t="shared" ca="1" si="42"/>
        <v>0</v>
      </c>
      <c r="I70" s="86">
        <f t="shared" ca="1" si="42"/>
        <v>0</v>
      </c>
      <c r="J70" s="86">
        <f ca="1">I71</f>
        <v>0</v>
      </c>
      <c r="K70" s="86">
        <f t="shared" ca="1" si="42"/>
        <v>0</v>
      </c>
      <c r="L70" s="86">
        <f t="shared" ca="1" si="42"/>
        <v>0</v>
      </c>
      <c r="M70" s="86">
        <f t="shared" ca="1" si="42"/>
        <v>0</v>
      </c>
      <c r="N70" s="86">
        <f ca="1">M71</f>
        <v>0</v>
      </c>
      <c r="O70" s="86">
        <f t="shared" ca="1" si="42"/>
        <v>0</v>
      </c>
      <c r="P70" s="86">
        <f ca="1">O71</f>
        <v>0</v>
      </c>
      <c r="Q70" s="86">
        <f t="shared" ca="1" si="42"/>
        <v>0</v>
      </c>
      <c r="R70" s="86">
        <f t="shared" ca="1" si="42"/>
        <v>0</v>
      </c>
      <c r="S70" s="86">
        <f t="shared" ca="1" si="42"/>
        <v>0</v>
      </c>
      <c r="T70" s="86">
        <f ca="1">S71</f>
        <v>0</v>
      </c>
      <c r="U70" s="86">
        <f ca="1">T71</f>
        <v>0</v>
      </c>
      <c r="V70" s="86">
        <f t="shared" ca="1" si="42"/>
        <v>0</v>
      </c>
      <c r="W70" s="86">
        <f t="shared" ca="1" si="42"/>
        <v>0</v>
      </c>
      <c r="X70" s="86">
        <f t="shared" ca="1" si="42"/>
        <v>0</v>
      </c>
      <c r="Y70" s="86">
        <f ca="1">X71</f>
        <v>0</v>
      </c>
      <c r="Z70" s="86">
        <f t="shared" ca="1" si="42"/>
        <v>0</v>
      </c>
      <c r="AA70" s="86">
        <f t="shared" ca="1" si="42"/>
        <v>0</v>
      </c>
      <c r="AB70" s="86">
        <f t="shared" ca="1" si="42"/>
        <v>0</v>
      </c>
      <c r="AC70" s="86">
        <f t="shared" ca="1" si="42"/>
        <v>0</v>
      </c>
      <c r="AD70" s="86">
        <f t="shared" ca="1" si="42"/>
        <v>0</v>
      </c>
      <c r="AE70" s="86">
        <f t="shared" ca="1" si="42"/>
        <v>0</v>
      </c>
      <c r="AF70" s="86">
        <f t="shared" ca="1" si="42"/>
        <v>0</v>
      </c>
      <c r="AG70" s="86">
        <f t="shared" ca="1" si="42"/>
        <v>0</v>
      </c>
    </row>
    <row r="71" spans="2:33" x14ac:dyDescent="0.4">
      <c r="B71" s="86" t="s">
        <v>125</v>
      </c>
      <c r="D71" s="147">
        <f>D69+D70</f>
        <v>0</v>
      </c>
      <c r="E71" s="147">
        <f t="shared" ref="E71:AG71" ca="1" si="43">E69+E70</f>
        <v>0</v>
      </c>
      <c r="F71" s="147">
        <f t="shared" ca="1" si="43"/>
        <v>0</v>
      </c>
      <c r="G71" s="147">
        <f t="shared" ca="1" si="43"/>
        <v>0</v>
      </c>
      <c r="H71" s="147">
        <f t="shared" ca="1" si="43"/>
        <v>0</v>
      </c>
      <c r="I71" s="147">
        <f t="shared" ca="1" si="43"/>
        <v>0</v>
      </c>
      <c r="J71" s="147">
        <f t="shared" ca="1" si="43"/>
        <v>0</v>
      </c>
      <c r="K71" s="147">
        <f t="shared" ca="1" si="43"/>
        <v>0</v>
      </c>
      <c r="L71" s="147">
        <f t="shared" ca="1" si="43"/>
        <v>0</v>
      </c>
      <c r="M71" s="147">
        <f t="shared" ca="1" si="43"/>
        <v>0</v>
      </c>
      <c r="N71" s="147">
        <f t="shared" ca="1" si="43"/>
        <v>0</v>
      </c>
      <c r="O71" s="147">
        <f t="shared" ca="1" si="43"/>
        <v>0</v>
      </c>
      <c r="P71" s="147">
        <f t="shared" ca="1" si="43"/>
        <v>0</v>
      </c>
      <c r="Q71" s="147">
        <f t="shared" ca="1" si="43"/>
        <v>0</v>
      </c>
      <c r="R71" s="147">
        <f t="shared" ca="1" si="43"/>
        <v>0</v>
      </c>
      <c r="S71" s="147">
        <f t="shared" ca="1" si="43"/>
        <v>0</v>
      </c>
      <c r="T71" s="147">
        <f t="shared" ca="1" si="43"/>
        <v>0</v>
      </c>
      <c r="U71" s="147">
        <f t="shared" ca="1" si="43"/>
        <v>0</v>
      </c>
      <c r="V71" s="147">
        <f t="shared" ca="1" si="43"/>
        <v>0</v>
      </c>
      <c r="W71" s="147">
        <f t="shared" ca="1" si="43"/>
        <v>0</v>
      </c>
      <c r="X71" s="147">
        <f t="shared" ca="1" si="43"/>
        <v>0</v>
      </c>
      <c r="Y71" s="147">
        <f t="shared" ca="1" si="43"/>
        <v>0</v>
      </c>
      <c r="Z71" s="147">
        <f t="shared" ca="1" si="43"/>
        <v>0</v>
      </c>
      <c r="AA71" s="147">
        <f t="shared" ca="1" si="43"/>
        <v>0</v>
      </c>
      <c r="AB71" s="147">
        <f t="shared" ca="1" si="43"/>
        <v>0</v>
      </c>
      <c r="AC71" s="147">
        <f t="shared" ca="1" si="43"/>
        <v>0</v>
      </c>
      <c r="AD71" s="147">
        <f t="shared" ca="1" si="43"/>
        <v>0</v>
      </c>
      <c r="AE71" s="147">
        <f t="shared" ca="1" si="43"/>
        <v>0</v>
      </c>
      <c r="AF71" s="147">
        <f t="shared" ca="1" si="43"/>
        <v>0</v>
      </c>
      <c r="AG71" s="147">
        <f t="shared" ca="1" si="43"/>
        <v>0</v>
      </c>
    </row>
    <row r="73" spans="2:33" ht="16.3" thickBot="1" x14ac:dyDescent="0.5">
      <c r="B73" s="142" t="s">
        <v>80</v>
      </c>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row>
    <row r="74" spans="2:33" ht="18.45" x14ac:dyDescent="0.5">
      <c r="C74" s="116"/>
      <c r="D74" s="116"/>
      <c r="E74" s="116"/>
      <c r="F74" s="344"/>
      <c r="G74" s="344"/>
    </row>
    <row r="76" spans="2:33" x14ac:dyDescent="0.4">
      <c r="C76" s="345"/>
      <c r="D76" s="345"/>
      <c r="E76" s="345"/>
      <c r="F76" s="345"/>
      <c r="G76" s="345"/>
    </row>
    <row r="77" spans="2:33" x14ac:dyDescent="0.4">
      <c r="C77" s="345"/>
      <c r="D77" s="345"/>
      <c r="E77" s="345"/>
      <c r="F77" s="345"/>
      <c r="G77" s="345"/>
    </row>
    <row r="78" spans="2:33" ht="18.45" x14ac:dyDescent="0.5">
      <c r="C78" s="346"/>
      <c r="D78" s="346"/>
      <c r="E78" s="346"/>
      <c r="F78" s="343"/>
      <c r="G78" s="343"/>
    </row>
    <row r="79" spans="2:33" ht="18.45" x14ac:dyDescent="0.5">
      <c r="C79" s="116"/>
      <c r="D79" s="116"/>
      <c r="E79" s="116"/>
      <c r="F79" s="341"/>
      <c r="G79" s="341"/>
    </row>
    <row r="80" spans="2:33" ht="18.45" x14ac:dyDescent="0.5">
      <c r="C80" s="115"/>
      <c r="D80" s="115"/>
      <c r="E80" s="115"/>
      <c r="F80" s="342"/>
      <c r="G80" s="342"/>
    </row>
    <row r="82" spans="2:33" x14ac:dyDescent="0.4">
      <c r="C82" s="117"/>
      <c r="D82" s="118"/>
      <c r="E82" s="119"/>
    </row>
    <row r="83" spans="2:33" x14ac:dyDescent="0.4">
      <c r="D83" s="120"/>
      <c r="E83" s="121"/>
      <c r="F83" s="120"/>
      <c r="G83" s="120"/>
    </row>
    <row r="89" spans="2:33" ht="15.9" x14ac:dyDescent="0.45">
      <c r="B89" s="100"/>
      <c r="C89" s="97"/>
      <c r="D89" s="97"/>
      <c r="E89" s="97"/>
      <c r="F89" s="97"/>
      <c r="G89" s="97"/>
      <c r="H89" s="97"/>
      <c r="I89" s="97"/>
      <c r="J89" s="97"/>
      <c r="K89" s="97"/>
      <c r="L89" s="97"/>
      <c r="M89" s="97"/>
      <c r="N89" s="97"/>
      <c r="O89" s="97"/>
      <c r="P89" s="97"/>
      <c r="Q89" s="97"/>
      <c r="R89" s="97"/>
      <c r="S89" s="97"/>
      <c r="T89" s="97"/>
      <c r="U89" s="97"/>
      <c r="V89" s="97"/>
      <c r="W89" s="97"/>
      <c r="X89" s="97"/>
      <c r="Y89" s="97"/>
      <c r="Z89" s="97"/>
      <c r="AA89" s="97"/>
      <c r="AB89" s="97"/>
      <c r="AC89" s="97"/>
      <c r="AD89" s="97"/>
      <c r="AE89" s="97"/>
      <c r="AF89" s="97"/>
      <c r="AG89" s="97"/>
    </row>
    <row r="90" spans="2:33" ht="15.9" x14ac:dyDescent="0.45">
      <c r="B90" s="101"/>
      <c r="C90" s="100"/>
      <c r="D90" s="100"/>
      <c r="E90" s="100"/>
      <c r="F90" s="100"/>
      <c r="G90" s="100"/>
      <c r="H90" s="100"/>
      <c r="I90" s="100"/>
      <c r="J90" s="100"/>
      <c r="K90" s="100"/>
      <c r="L90" s="100"/>
      <c r="M90" s="100"/>
      <c r="N90" s="100"/>
      <c r="O90" s="100"/>
      <c r="P90" s="100"/>
      <c r="Q90" s="100"/>
      <c r="R90" s="100"/>
      <c r="S90" s="100"/>
      <c r="T90" s="100"/>
      <c r="U90" s="100"/>
      <c r="V90" s="100"/>
      <c r="W90" s="100"/>
      <c r="X90" s="100"/>
      <c r="Y90" s="100"/>
      <c r="Z90" s="100"/>
      <c r="AA90" s="100"/>
      <c r="AB90" s="100"/>
      <c r="AC90" s="100"/>
      <c r="AD90" s="100"/>
      <c r="AE90" s="100"/>
      <c r="AF90" s="100"/>
      <c r="AG90" s="100"/>
    </row>
    <row r="91" spans="2:33" ht="15.9" x14ac:dyDescent="0.45">
      <c r="B91" s="122"/>
      <c r="C91" s="123"/>
      <c r="D91" s="123"/>
      <c r="E91" s="123"/>
      <c r="F91" s="123"/>
      <c r="G91" s="123"/>
      <c r="H91" s="123"/>
      <c r="I91" s="123"/>
      <c r="J91" s="123"/>
      <c r="K91" s="123"/>
      <c r="L91" s="123"/>
      <c r="M91" s="123"/>
      <c r="N91" s="123"/>
      <c r="O91" s="123"/>
      <c r="P91" s="123"/>
      <c r="Q91" s="123"/>
      <c r="R91" s="123"/>
      <c r="S91" s="123"/>
      <c r="T91" s="123"/>
      <c r="U91" s="123"/>
      <c r="V91" s="123"/>
      <c r="W91" s="123"/>
      <c r="X91" s="123"/>
      <c r="Y91" s="123"/>
      <c r="Z91" s="123"/>
      <c r="AA91" s="123"/>
      <c r="AB91" s="123"/>
      <c r="AC91" s="123"/>
      <c r="AD91" s="123"/>
      <c r="AE91" s="123"/>
      <c r="AF91" s="123"/>
      <c r="AG91" s="124"/>
    </row>
    <row r="92" spans="2:33" ht="15.9" x14ac:dyDescent="0.45">
      <c r="B92" s="125"/>
      <c r="C92" s="103"/>
      <c r="D92" s="105"/>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c r="AD92" s="106"/>
      <c r="AE92" s="106"/>
      <c r="AF92" s="106"/>
      <c r="AG92" s="126"/>
    </row>
    <row r="93" spans="2:33" ht="15.9" x14ac:dyDescent="0.45">
      <c r="B93" s="125"/>
      <c r="C93" s="103"/>
      <c r="D93" s="107"/>
      <c r="E93" s="108"/>
      <c r="F93" s="108"/>
      <c r="G93" s="108"/>
      <c r="H93" s="108"/>
      <c r="I93" s="108"/>
      <c r="J93" s="108"/>
      <c r="K93" s="108"/>
      <c r="L93" s="108"/>
      <c r="M93" s="108"/>
      <c r="N93" s="108"/>
      <c r="O93" s="108"/>
      <c r="P93" s="108"/>
      <c r="Q93" s="108"/>
      <c r="R93" s="108"/>
      <c r="S93" s="108"/>
      <c r="T93" s="108"/>
      <c r="U93" s="108"/>
      <c r="V93" s="108"/>
      <c r="W93" s="108"/>
      <c r="X93" s="108"/>
      <c r="Y93" s="108"/>
      <c r="Z93" s="108"/>
      <c r="AA93" s="108"/>
      <c r="AB93" s="108"/>
      <c r="AC93" s="108"/>
      <c r="AD93" s="108"/>
      <c r="AE93" s="108"/>
      <c r="AF93" s="108"/>
      <c r="AG93" s="127"/>
    </row>
    <row r="94" spans="2:33" ht="15.9" x14ac:dyDescent="0.45">
      <c r="B94" s="125"/>
      <c r="C94" s="103"/>
      <c r="D94" s="109"/>
      <c r="E94" s="109"/>
      <c r="F94" s="109"/>
      <c r="G94" s="109"/>
      <c r="H94" s="109"/>
      <c r="I94" s="109"/>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28"/>
    </row>
    <row r="95" spans="2:33" ht="15.9" x14ac:dyDescent="0.45">
      <c r="B95" s="129"/>
      <c r="C95" s="103"/>
      <c r="D95" s="105"/>
      <c r="E95" s="105"/>
      <c r="F95" s="105"/>
      <c r="G95" s="105"/>
      <c r="H95" s="105"/>
      <c r="I95" s="105"/>
      <c r="J95" s="105"/>
      <c r="K95" s="105"/>
      <c r="L95" s="105"/>
      <c r="M95" s="105"/>
      <c r="N95" s="105"/>
      <c r="O95" s="105"/>
      <c r="P95" s="105"/>
      <c r="Q95" s="105"/>
      <c r="R95" s="105"/>
      <c r="S95" s="105"/>
      <c r="T95" s="105"/>
      <c r="U95" s="105"/>
      <c r="V95" s="105"/>
      <c r="W95" s="105"/>
      <c r="X95" s="105"/>
      <c r="Y95" s="105"/>
      <c r="Z95" s="105"/>
      <c r="AA95" s="105"/>
      <c r="AB95" s="105"/>
      <c r="AC95" s="105"/>
      <c r="AD95" s="105"/>
      <c r="AE95" s="105"/>
      <c r="AF95" s="105"/>
      <c r="AG95" s="130"/>
    </row>
    <row r="96" spans="2:33" ht="15.9" x14ac:dyDescent="0.45">
      <c r="B96" s="131"/>
      <c r="C96" s="132"/>
      <c r="D96" s="133"/>
      <c r="E96" s="133"/>
      <c r="F96" s="133"/>
      <c r="G96" s="133"/>
      <c r="H96" s="133"/>
      <c r="I96" s="133"/>
      <c r="J96" s="133"/>
      <c r="K96" s="133"/>
      <c r="L96" s="133"/>
      <c r="M96" s="133"/>
      <c r="N96" s="133"/>
      <c r="O96" s="133"/>
      <c r="P96" s="133"/>
      <c r="Q96" s="133"/>
      <c r="R96" s="133"/>
      <c r="S96" s="133"/>
      <c r="T96" s="133"/>
      <c r="U96" s="133"/>
      <c r="V96" s="133"/>
      <c r="W96" s="133"/>
      <c r="X96" s="133"/>
      <c r="Y96" s="133"/>
      <c r="Z96" s="133"/>
      <c r="AA96" s="133"/>
      <c r="AB96" s="133"/>
      <c r="AC96" s="133"/>
      <c r="AD96" s="133"/>
      <c r="AE96" s="133"/>
      <c r="AF96" s="133"/>
      <c r="AG96" s="134"/>
    </row>
    <row r="97" spans="2:33" ht="15.9" x14ac:dyDescent="0.45">
      <c r="B97" s="129"/>
      <c r="C97" s="103"/>
      <c r="D97" s="105"/>
      <c r="E97" s="105"/>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c r="AE97" s="105"/>
      <c r="AF97" s="105"/>
      <c r="AG97" s="130"/>
    </row>
    <row r="98" spans="2:33" ht="15.9" x14ac:dyDescent="0.45">
      <c r="B98" s="129"/>
      <c r="C98" s="103"/>
      <c r="D98" s="105"/>
      <c r="E98" s="105"/>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c r="AE98" s="105"/>
      <c r="AF98" s="105"/>
      <c r="AG98" s="130"/>
    </row>
    <row r="99" spans="2:33" ht="15.9" x14ac:dyDescent="0.45">
      <c r="B99" s="129"/>
      <c r="C99" s="103"/>
      <c r="D99" s="105"/>
      <c r="E99" s="105"/>
      <c r="F99" s="105"/>
      <c r="G99" s="105"/>
      <c r="H99" s="105"/>
      <c r="I99" s="105"/>
      <c r="J99" s="105"/>
      <c r="K99" s="105"/>
      <c r="L99" s="105"/>
      <c r="M99" s="105"/>
      <c r="N99" s="105"/>
      <c r="O99" s="105"/>
      <c r="P99" s="105"/>
      <c r="Q99" s="105"/>
      <c r="R99" s="105"/>
      <c r="S99" s="105"/>
      <c r="T99" s="105"/>
      <c r="U99" s="105"/>
      <c r="V99" s="105"/>
      <c r="W99" s="105"/>
      <c r="X99" s="105"/>
      <c r="Y99" s="105"/>
      <c r="Z99" s="105"/>
      <c r="AA99" s="105"/>
      <c r="AB99" s="105"/>
      <c r="AC99" s="105"/>
      <c r="AD99" s="105"/>
      <c r="AE99" s="105"/>
      <c r="AF99" s="105"/>
      <c r="AG99" s="105"/>
    </row>
    <row r="100" spans="2:33" ht="15.9" x14ac:dyDescent="0.45">
      <c r="B100" s="129"/>
      <c r="C100" s="103"/>
      <c r="D100" s="105"/>
      <c r="E100" s="105"/>
      <c r="F100" s="105"/>
      <c r="G100" s="105"/>
      <c r="H100" s="105"/>
      <c r="I100" s="105"/>
      <c r="J100" s="105"/>
      <c r="K100" s="105"/>
      <c r="L100" s="105"/>
      <c r="M100" s="105"/>
      <c r="N100" s="105"/>
      <c r="O100" s="105"/>
      <c r="P100" s="105"/>
      <c r="Q100" s="105"/>
      <c r="R100" s="105"/>
      <c r="S100" s="105"/>
      <c r="T100" s="105"/>
      <c r="U100" s="105"/>
      <c r="V100" s="105"/>
      <c r="W100" s="105"/>
      <c r="X100" s="105"/>
      <c r="Y100" s="105"/>
      <c r="Z100" s="105"/>
      <c r="AA100" s="105"/>
      <c r="AB100" s="105"/>
      <c r="AC100" s="105"/>
      <c r="AD100" s="105"/>
      <c r="AE100" s="105"/>
      <c r="AF100" s="105"/>
      <c r="AG100" s="130"/>
    </row>
    <row r="101" spans="2:33" ht="15.9" x14ac:dyDescent="0.45">
      <c r="B101" s="131"/>
      <c r="C101" s="132"/>
      <c r="D101" s="133"/>
      <c r="E101" s="133"/>
      <c r="F101" s="133"/>
      <c r="G101" s="133"/>
      <c r="H101" s="133"/>
      <c r="I101" s="133"/>
      <c r="J101" s="133"/>
      <c r="K101" s="133"/>
      <c r="L101" s="133"/>
      <c r="M101" s="133"/>
      <c r="N101" s="133"/>
      <c r="O101" s="133"/>
      <c r="P101" s="133"/>
      <c r="Q101" s="133"/>
      <c r="R101" s="133"/>
      <c r="S101" s="133"/>
      <c r="T101" s="133"/>
      <c r="U101" s="133"/>
      <c r="V101" s="133"/>
      <c r="W101" s="133"/>
      <c r="X101" s="133"/>
      <c r="Y101" s="133"/>
      <c r="Z101" s="133"/>
      <c r="AA101" s="133"/>
      <c r="AB101" s="133"/>
      <c r="AC101" s="133"/>
      <c r="AD101" s="133"/>
      <c r="AE101" s="133"/>
      <c r="AF101" s="133"/>
      <c r="AG101" s="134"/>
    </row>
    <row r="102" spans="2:33" ht="15.9" x14ac:dyDescent="0.45">
      <c r="B102" s="129"/>
      <c r="C102" s="103"/>
      <c r="D102" s="105"/>
      <c r="E102" s="105"/>
      <c r="F102" s="105"/>
      <c r="G102" s="105"/>
      <c r="H102" s="105"/>
      <c r="I102" s="105"/>
      <c r="J102" s="105"/>
      <c r="K102" s="105"/>
      <c r="L102" s="105"/>
      <c r="M102" s="105"/>
      <c r="N102" s="105"/>
      <c r="O102" s="105"/>
      <c r="P102" s="105"/>
      <c r="Q102" s="105"/>
      <c r="R102" s="105"/>
      <c r="S102" s="105"/>
      <c r="T102" s="105"/>
      <c r="U102" s="105"/>
      <c r="V102" s="105"/>
      <c r="W102" s="105"/>
      <c r="X102" s="105"/>
      <c r="Y102" s="105"/>
      <c r="Z102" s="105"/>
      <c r="AA102" s="105"/>
      <c r="AB102" s="105"/>
      <c r="AC102" s="105"/>
      <c r="AD102" s="105"/>
      <c r="AE102" s="105"/>
      <c r="AF102" s="105"/>
      <c r="AG102" s="130"/>
    </row>
    <row r="103" spans="2:33" ht="15.9" x14ac:dyDescent="0.45">
      <c r="B103" s="129"/>
      <c r="C103" s="103"/>
      <c r="D103" s="105"/>
      <c r="E103" s="105"/>
      <c r="F103" s="105"/>
      <c r="G103" s="105"/>
      <c r="H103" s="105"/>
      <c r="I103" s="105"/>
      <c r="J103" s="105"/>
      <c r="K103" s="105"/>
      <c r="L103" s="105"/>
      <c r="M103" s="105"/>
      <c r="N103" s="105"/>
      <c r="O103" s="105"/>
      <c r="P103" s="105"/>
      <c r="Q103" s="105"/>
      <c r="R103" s="105"/>
      <c r="S103" s="105"/>
      <c r="T103" s="105"/>
      <c r="U103" s="105"/>
      <c r="V103" s="105"/>
      <c r="W103" s="105"/>
      <c r="X103" s="105"/>
      <c r="Y103" s="105"/>
      <c r="Z103" s="105"/>
      <c r="AA103" s="105"/>
      <c r="AB103" s="105"/>
      <c r="AC103" s="105"/>
      <c r="AD103" s="105"/>
      <c r="AE103" s="105"/>
      <c r="AF103" s="105"/>
      <c r="AG103" s="130"/>
    </row>
    <row r="104" spans="2:33" ht="15.9" x14ac:dyDescent="0.45">
      <c r="B104" s="131"/>
      <c r="C104" s="132"/>
      <c r="D104" s="133"/>
      <c r="E104" s="133"/>
      <c r="F104" s="133"/>
      <c r="G104" s="133"/>
      <c r="H104" s="133"/>
      <c r="I104" s="133"/>
      <c r="J104" s="133"/>
      <c r="K104" s="133"/>
      <c r="L104" s="133"/>
      <c r="M104" s="133"/>
      <c r="N104" s="133"/>
      <c r="O104" s="133"/>
      <c r="P104" s="133"/>
      <c r="Q104" s="133"/>
      <c r="R104" s="133"/>
      <c r="S104" s="133"/>
      <c r="T104" s="133"/>
      <c r="U104" s="133"/>
      <c r="V104" s="133"/>
      <c r="W104" s="133"/>
      <c r="X104" s="133"/>
      <c r="Y104" s="133"/>
      <c r="Z104" s="133"/>
      <c r="AA104" s="133"/>
      <c r="AB104" s="133"/>
      <c r="AC104" s="133"/>
      <c r="AD104" s="133"/>
      <c r="AE104" s="133"/>
      <c r="AF104" s="133"/>
      <c r="AG104" s="133"/>
    </row>
    <row r="105" spans="2:33" ht="15.9" x14ac:dyDescent="0.45">
      <c r="B105" s="129"/>
      <c r="C105" s="109"/>
      <c r="D105" s="112"/>
      <c r="E105" s="112"/>
      <c r="F105" s="112"/>
      <c r="G105" s="112"/>
      <c r="H105" s="112"/>
      <c r="I105" s="112"/>
      <c r="J105" s="112"/>
      <c r="K105" s="112"/>
      <c r="L105" s="112"/>
      <c r="M105" s="112"/>
      <c r="N105" s="103"/>
      <c r="O105" s="103"/>
      <c r="P105" s="103"/>
      <c r="Q105" s="103"/>
      <c r="R105" s="103"/>
      <c r="S105" s="103"/>
      <c r="T105" s="103"/>
      <c r="U105" s="103"/>
      <c r="V105" s="103"/>
      <c r="W105" s="103"/>
      <c r="X105" s="103"/>
      <c r="Y105" s="103"/>
      <c r="Z105" s="103"/>
      <c r="AA105" s="103"/>
      <c r="AB105" s="103"/>
      <c r="AC105" s="103"/>
      <c r="AD105" s="103"/>
      <c r="AE105" s="103"/>
      <c r="AF105" s="103"/>
      <c r="AG105" s="135"/>
    </row>
    <row r="106" spans="2:33" ht="15.9" x14ac:dyDescent="0.45">
      <c r="B106" s="131"/>
      <c r="C106" s="132"/>
      <c r="D106" s="133"/>
      <c r="E106" s="133"/>
      <c r="F106" s="133"/>
      <c r="G106" s="133"/>
      <c r="H106" s="133"/>
      <c r="I106" s="133"/>
      <c r="J106" s="133"/>
      <c r="K106" s="133"/>
      <c r="L106" s="133"/>
      <c r="M106" s="133"/>
      <c r="N106" s="133"/>
      <c r="O106" s="133"/>
      <c r="P106" s="133"/>
      <c r="Q106" s="133"/>
      <c r="R106" s="133"/>
      <c r="S106" s="133"/>
      <c r="T106" s="133"/>
      <c r="U106" s="133"/>
      <c r="V106" s="133"/>
      <c r="W106" s="133"/>
      <c r="X106" s="133"/>
      <c r="Y106" s="133"/>
      <c r="Z106" s="133"/>
      <c r="AA106" s="133"/>
      <c r="AB106" s="133"/>
      <c r="AC106" s="133"/>
      <c r="AD106" s="133"/>
      <c r="AE106" s="133"/>
      <c r="AF106" s="133"/>
      <c r="AG106" s="133"/>
    </row>
    <row r="107" spans="2:33" ht="15.9" x14ac:dyDescent="0.45">
      <c r="B107" s="129"/>
      <c r="C107" s="103"/>
      <c r="D107" s="102"/>
      <c r="E107" s="102"/>
      <c r="F107" s="102"/>
      <c r="G107" s="102"/>
      <c r="H107" s="102"/>
      <c r="I107" s="102"/>
      <c r="J107" s="102"/>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102"/>
      <c r="AG107" s="102"/>
    </row>
    <row r="108" spans="2:33" ht="15.9" x14ac:dyDescent="0.45">
      <c r="B108" s="129"/>
      <c r="C108" s="103"/>
      <c r="D108" s="105"/>
      <c r="E108" s="105"/>
      <c r="F108" s="105"/>
      <c r="G108" s="105"/>
      <c r="H108" s="105"/>
      <c r="I108" s="105"/>
      <c r="J108" s="105"/>
      <c r="K108" s="105"/>
      <c r="L108" s="105"/>
      <c r="M108" s="105"/>
      <c r="N108" s="105"/>
      <c r="O108" s="105"/>
      <c r="P108" s="105"/>
      <c r="Q108" s="105"/>
      <c r="R108" s="105"/>
      <c r="S108" s="105"/>
      <c r="T108" s="105"/>
      <c r="U108" s="105"/>
      <c r="V108" s="105"/>
      <c r="W108" s="105"/>
      <c r="X108" s="105"/>
      <c r="Y108" s="105"/>
      <c r="Z108" s="105"/>
      <c r="AA108" s="105"/>
      <c r="AB108" s="105"/>
      <c r="AC108" s="105"/>
      <c r="AD108" s="105"/>
      <c r="AE108" s="105"/>
      <c r="AF108" s="105"/>
      <c r="AG108" s="105"/>
    </row>
    <row r="109" spans="2:33" ht="15.9" x14ac:dyDescent="0.45">
      <c r="B109" s="129"/>
      <c r="C109" s="103"/>
      <c r="D109" s="105"/>
      <c r="E109" s="105"/>
      <c r="F109" s="105"/>
      <c r="G109" s="105"/>
      <c r="H109" s="105"/>
      <c r="I109" s="105"/>
      <c r="J109" s="105"/>
      <c r="K109" s="105"/>
      <c r="L109" s="105"/>
      <c r="M109" s="105"/>
      <c r="N109" s="105"/>
      <c r="O109" s="105"/>
      <c r="P109" s="105"/>
      <c r="Q109" s="105"/>
      <c r="R109" s="105"/>
      <c r="S109" s="105"/>
      <c r="T109" s="105"/>
      <c r="U109" s="105"/>
      <c r="V109" s="105"/>
      <c r="W109" s="105"/>
      <c r="X109" s="105"/>
      <c r="Y109" s="105"/>
      <c r="Z109" s="105"/>
      <c r="AA109" s="105"/>
      <c r="AB109" s="105"/>
      <c r="AC109" s="105"/>
      <c r="AD109" s="105"/>
      <c r="AE109" s="105"/>
      <c r="AF109" s="105"/>
      <c r="AG109" s="105"/>
    </row>
    <row r="110" spans="2:33" ht="15.9" x14ac:dyDescent="0.45">
      <c r="B110" s="129"/>
      <c r="C110" s="103"/>
      <c r="D110" s="105"/>
      <c r="E110" s="105"/>
      <c r="F110" s="105"/>
      <c r="G110" s="105"/>
      <c r="H110" s="105"/>
      <c r="I110" s="105"/>
      <c r="J110" s="105"/>
      <c r="K110" s="105"/>
      <c r="L110" s="105"/>
      <c r="M110" s="105"/>
      <c r="N110" s="105"/>
      <c r="O110" s="105"/>
      <c r="P110" s="105"/>
      <c r="Q110" s="105"/>
      <c r="R110" s="105"/>
      <c r="S110" s="105"/>
      <c r="T110" s="105"/>
      <c r="U110" s="105"/>
      <c r="V110" s="105"/>
      <c r="W110" s="105"/>
      <c r="X110" s="105"/>
      <c r="Y110" s="105"/>
      <c r="Z110" s="105"/>
      <c r="AA110" s="105"/>
      <c r="AB110" s="105"/>
      <c r="AC110" s="105"/>
      <c r="AD110" s="105"/>
      <c r="AE110" s="105"/>
      <c r="AF110" s="105"/>
      <c r="AG110" s="130"/>
    </row>
    <row r="111" spans="2:33" ht="15.9" x14ac:dyDescent="0.45">
      <c r="B111" s="131"/>
      <c r="C111" s="133"/>
      <c r="D111" s="133"/>
      <c r="E111" s="133"/>
      <c r="F111" s="133"/>
      <c r="G111" s="133"/>
      <c r="H111" s="133"/>
      <c r="I111" s="133"/>
      <c r="J111" s="133"/>
      <c r="K111" s="133"/>
      <c r="L111" s="133"/>
      <c r="M111" s="133"/>
      <c r="N111" s="133"/>
      <c r="O111" s="133"/>
      <c r="P111" s="133"/>
      <c r="Q111" s="133"/>
      <c r="R111" s="133"/>
      <c r="S111" s="133"/>
      <c r="T111" s="133"/>
      <c r="U111" s="133"/>
      <c r="V111" s="133"/>
      <c r="W111" s="133"/>
      <c r="X111" s="133"/>
      <c r="Y111" s="133"/>
      <c r="Z111" s="133"/>
      <c r="AA111" s="133"/>
      <c r="AB111" s="133"/>
      <c r="AC111" s="133"/>
      <c r="AD111" s="133"/>
      <c r="AE111" s="133"/>
      <c r="AF111" s="133"/>
      <c r="AG111" s="134"/>
    </row>
    <row r="112" spans="2:33" ht="16.3" thickBot="1" x14ac:dyDescent="0.5">
      <c r="B112" s="136"/>
      <c r="C112" s="137"/>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137"/>
      <c r="AD112" s="137"/>
      <c r="AE112" s="137"/>
      <c r="AF112" s="137"/>
      <c r="AG112" s="137"/>
    </row>
    <row r="113" spans="2:33" ht="16.3" thickBot="1" x14ac:dyDescent="0.5">
      <c r="B113" s="136"/>
      <c r="C113" s="137"/>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137"/>
      <c r="AD113" s="137"/>
      <c r="AE113" s="137"/>
      <c r="AF113" s="137"/>
      <c r="AG113" s="138"/>
    </row>
    <row r="114" spans="2:33" ht="16.3" thickBot="1" x14ac:dyDescent="0.5">
      <c r="B114" s="136"/>
      <c r="C114" s="137"/>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137"/>
      <c r="AD114" s="137"/>
      <c r="AE114" s="137"/>
      <c r="AF114" s="137"/>
      <c r="AG114" s="138"/>
    </row>
    <row r="115" spans="2:33" ht="16.3" thickBot="1" x14ac:dyDescent="0.5">
      <c r="B115" s="136"/>
      <c r="C115" s="139"/>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140"/>
      <c r="AB115" s="140"/>
      <c r="AC115" s="140"/>
      <c r="AD115" s="140"/>
      <c r="AE115" s="140"/>
      <c r="AF115" s="140"/>
      <c r="AG115" s="141"/>
    </row>
  </sheetData>
  <mergeCells count="12">
    <mergeCell ref="B17:D17"/>
    <mergeCell ref="F80:G80"/>
    <mergeCell ref="F74:G74"/>
    <mergeCell ref="C76:G77"/>
    <mergeCell ref="C78:E78"/>
    <mergeCell ref="F78:G78"/>
    <mergeCell ref="F79:G79"/>
    <mergeCell ref="O3:Q3"/>
    <mergeCell ref="C1:H2"/>
    <mergeCell ref="J3:L3"/>
    <mergeCell ref="B4:D4"/>
    <mergeCell ref="F4:H4"/>
  </mergeCells>
  <phoneticPr fontId="36" type="noConversion"/>
  <conditionalFormatting sqref="O6:T14">
    <cfRule type="cellIs" dxfId="4" priority="1" operator="greaterThan">
      <formula>0</formula>
    </cfRule>
    <cfRule type="cellIs" dxfId="3" priority="2" operator="lessThan">
      <formula>0</formula>
    </cfRule>
  </conditionalFormatting>
  <conditionalFormatting sqref="Q17">
    <cfRule type="cellIs" dxfId="2" priority="3" operator="greaterThan">
      <formula>0</formula>
    </cfRule>
    <cfRule type="cellIs" dxfId="1" priority="4" operator="lessThan">
      <formula>0</formula>
    </cfRule>
  </conditionalFormatting>
  <pageMargins left="0.7" right="0.7" top="0.75" bottom="0.75" header="0.3" footer="0.3"/>
  <drawing r:id="rId1"/>
  <legacyDrawing r:id="rId2"/>
  <tableParts count="2">
    <tablePart r:id="rId3"/>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BE1EB03-22C4-4984-ABDE-84021C6706A5}">
          <x14:formula1>
            <xm:f>Otros!$B$3:$B$4</xm:f>
          </x14:formula1>
          <xm:sqref>D19 D22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A99D6-D896-48C9-8C5E-2D47758FBBDC}">
  <dimension ref="B3:J74"/>
  <sheetViews>
    <sheetView showGridLines="0" topLeftCell="A47" workbookViewId="0">
      <selection activeCell="I64" sqref="I64"/>
    </sheetView>
  </sheetViews>
  <sheetFormatPr defaultColWidth="10.85546875" defaultRowHeight="15.9" x14ac:dyDescent="0.45"/>
  <cols>
    <col min="2" max="2" width="33.140625" customWidth="1"/>
    <col min="3" max="3" width="12.140625" bestFit="1" customWidth="1"/>
    <col min="4" max="4" width="13.640625" customWidth="1"/>
    <col min="5" max="5" width="14.5" customWidth="1"/>
    <col min="6" max="6" width="12.640625" customWidth="1"/>
    <col min="7" max="7" width="15.640625" customWidth="1"/>
    <col min="8" max="8" width="22.35546875" customWidth="1"/>
    <col min="9" max="9" width="14.5" customWidth="1"/>
    <col min="10" max="10" width="13.640625" bestFit="1" customWidth="1"/>
  </cols>
  <sheetData>
    <row r="3" spans="2:9" ht="16.3" thickBot="1" x14ac:dyDescent="0.5"/>
    <row r="4" spans="2:9" ht="16.3" thickBot="1" x14ac:dyDescent="0.5">
      <c r="D4" s="295" t="s">
        <v>187</v>
      </c>
      <c r="E4" s="296" t="s">
        <v>188</v>
      </c>
      <c r="F4" s="296" t="s">
        <v>174</v>
      </c>
      <c r="G4" s="296" t="s">
        <v>176</v>
      </c>
      <c r="H4" s="296" t="s">
        <v>179</v>
      </c>
      <c r="I4" s="297" t="s">
        <v>180</v>
      </c>
    </row>
    <row r="5" spans="2:9" ht="16.3" thickBot="1" x14ac:dyDescent="0.5">
      <c r="B5" s="295" t="s">
        <v>331</v>
      </c>
      <c r="C5" s="301" t="s">
        <v>330</v>
      </c>
      <c r="D5" s="298">
        <v>0.4</v>
      </c>
      <c r="E5" s="299">
        <v>0.2</v>
      </c>
      <c r="F5" s="299">
        <v>0.1</v>
      </c>
      <c r="G5" s="299">
        <v>0.1</v>
      </c>
      <c r="H5" s="299">
        <v>0.1</v>
      </c>
      <c r="I5" s="300">
        <v>0.1</v>
      </c>
    </row>
    <row r="6" spans="2:9" x14ac:dyDescent="0.45">
      <c r="B6" s="277" t="s">
        <v>326</v>
      </c>
      <c r="C6" s="288">
        <v>0.124</v>
      </c>
      <c r="D6" s="291">
        <f>+$D$11*C6</f>
        <v>55800000</v>
      </c>
      <c r="E6" s="279">
        <f>+$E$11*C6</f>
        <v>27900000</v>
      </c>
      <c r="F6" s="279">
        <f>+$F$11*C6</f>
        <v>13950000</v>
      </c>
      <c r="G6" s="279">
        <f>+$G$11*C6</f>
        <v>13950000</v>
      </c>
      <c r="H6" s="279">
        <f>+$H$11*C6</f>
        <v>13950000</v>
      </c>
      <c r="I6" s="280">
        <f>+$I$11*C6</f>
        <v>13950000</v>
      </c>
    </row>
    <row r="7" spans="2:9" x14ac:dyDescent="0.45">
      <c r="B7" s="278" t="s">
        <v>325</v>
      </c>
      <c r="C7" s="289">
        <v>0.129</v>
      </c>
      <c r="D7" s="291">
        <f>+$D$11*C7</f>
        <v>58050000</v>
      </c>
      <c r="E7" s="279">
        <f>+$E$11*C7</f>
        <v>29025000</v>
      </c>
      <c r="F7" s="279">
        <f>+$F$11*C7</f>
        <v>14512500</v>
      </c>
      <c r="G7" s="279">
        <f t="shared" ref="G7:G10" si="0">+$G$11*C7</f>
        <v>14512500</v>
      </c>
      <c r="H7" s="279">
        <f t="shared" ref="H7:H10" si="1">+$H$11*C7</f>
        <v>14512500</v>
      </c>
      <c r="I7" s="280">
        <f>+$I$11*C7</f>
        <v>14512500</v>
      </c>
    </row>
    <row r="8" spans="2:9" x14ac:dyDescent="0.45">
      <c r="B8" s="278" t="s">
        <v>327</v>
      </c>
      <c r="C8" s="289">
        <v>0.249</v>
      </c>
      <c r="D8" s="291">
        <f>+$D$11*C8</f>
        <v>112050000</v>
      </c>
      <c r="E8" s="279">
        <f>+$E$11*C8</f>
        <v>56025000</v>
      </c>
      <c r="F8" s="279">
        <f>+$F$11*C8</f>
        <v>28012500</v>
      </c>
      <c r="G8" s="279">
        <f t="shared" si="0"/>
        <v>28012500</v>
      </c>
      <c r="H8" s="279">
        <f t="shared" si="1"/>
        <v>28012500</v>
      </c>
      <c r="I8" s="280">
        <f>+$I$11*C8</f>
        <v>28012500</v>
      </c>
    </row>
    <row r="9" spans="2:9" x14ac:dyDescent="0.45">
      <c r="B9" s="278" t="s">
        <v>328</v>
      </c>
      <c r="C9" s="289">
        <v>0.249</v>
      </c>
      <c r="D9" s="291">
        <f>+$D$11*C9</f>
        <v>112050000</v>
      </c>
      <c r="E9" s="279">
        <f>+$E$11*C9</f>
        <v>56025000</v>
      </c>
      <c r="F9" s="279">
        <f>+$F$11*C9</f>
        <v>28012500</v>
      </c>
      <c r="G9" s="279">
        <f t="shared" si="0"/>
        <v>28012500</v>
      </c>
      <c r="H9" s="279">
        <f t="shared" si="1"/>
        <v>28012500</v>
      </c>
      <c r="I9" s="280">
        <f>+$I$11*C9</f>
        <v>28012500</v>
      </c>
    </row>
    <row r="10" spans="2:9" ht="16.3" thickBot="1" x14ac:dyDescent="0.5">
      <c r="B10" s="281" t="s">
        <v>329</v>
      </c>
      <c r="C10" s="290">
        <v>0.249</v>
      </c>
      <c r="D10" s="292">
        <f>+$D$11*C10</f>
        <v>112050000</v>
      </c>
      <c r="E10" s="282">
        <f>+$E$11*C10</f>
        <v>56025000</v>
      </c>
      <c r="F10" s="282">
        <f>+$F$11*C10</f>
        <v>28012500</v>
      </c>
      <c r="G10" s="282">
        <f t="shared" si="0"/>
        <v>28012500</v>
      </c>
      <c r="H10" s="282">
        <f t="shared" si="1"/>
        <v>28012500</v>
      </c>
      <c r="I10" s="283">
        <f>+$I$11*C10</f>
        <v>28012500</v>
      </c>
    </row>
    <row r="11" spans="2:9" ht="16.3" thickBot="1" x14ac:dyDescent="0.5">
      <c r="D11" s="284">
        <f t="shared" ref="D11:I11" si="2">+$I$12*D5</f>
        <v>450000000</v>
      </c>
      <c r="E11" s="285">
        <f t="shared" si="2"/>
        <v>225000000</v>
      </c>
      <c r="F11" s="285">
        <f t="shared" si="2"/>
        <v>112500000</v>
      </c>
      <c r="G11" s="285">
        <f t="shared" si="2"/>
        <v>112500000</v>
      </c>
      <c r="H11" s="285">
        <f t="shared" si="2"/>
        <v>112500000</v>
      </c>
      <c r="I11" s="286">
        <f t="shared" si="2"/>
        <v>112500000</v>
      </c>
    </row>
    <row r="12" spans="2:9" ht="16.3" thickBot="1" x14ac:dyDescent="0.5">
      <c r="D12" s="8"/>
      <c r="E12" s="8"/>
      <c r="F12" s="8"/>
      <c r="I12" s="287">
        <f>+'FC - BT Proyecto'!D8*30%</f>
        <v>1125000000</v>
      </c>
    </row>
    <row r="15" spans="2:9" ht="16.3" thickBot="1" x14ac:dyDescent="0.5"/>
    <row r="16" spans="2:9" ht="16.3" thickBot="1" x14ac:dyDescent="0.5">
      <c r="D16" s="295" t="s">
        <v>187</v>
      </c>
      <c r="E16" s="296" t="s">
        <v>188</v>
      </c>
      <c r="F16" s="296" t="s">
        <v>174</v>
      </c>
      <c r="G16" s="296" t="s">
        <v>176</v>
      </c>
      <c r="H16" s="296" t="s">
        <v>179</v>
      </c>
      <c r="I16" s="297" t="s">
        <v>180</v>
      </c>
    </row>
    <row r="17" spans="2:10" ht="16.3" thickBot="1" x14ac:dyDescent="0.5">
      <c r="B17" s="295" t="s">
        <v>331</v>
      </c>
      <c r="C17" s="301" t="s">
        <v>330</v>
      </c>
      <c r="D17" s="298">
        <v>0.4</v>
      </c>
      <c r="E17" s="299">
        <v>0.2</v>
      </c>
      <c r="F17" s="299">
        <v>0.1</v>
      </c>
      <c r="G17" s="299">
        <v>0.1</v>
      </c>
      <c r="H17" s="299">
        <v>0.1</v>
      </c>
      <c r="I17" s="300">
        <v>0.1</v>
      </c>
    </row>
    <row r="18" spans="2:10" x14ac:dyDescent="0.45">
      <c r="B18" s="277" t="s">
        <v>326</v>
      </c>
      <c r="C18" s="288">
        <v>0.124</v>
      </c>
      <c r="D18" s="291">
        <f>+$D$23*C18</f>
        <v>186000000</v>
      </c>
      <c r="E18" s="291">
        <f>+$E$23*C18</f>
        <v>93000000</v>
      </c>
      <c r="F18" s="291">
        <f>+$F$23*C18</f>
        <v>46500000</v>
      </c>
      <c r="G18" s="291">
        <f>+$G$23*C18</f>
        <v>46500000</v>
      </c>
      <c r="H18" s="291">
        <f>+$H$23*C18</f>
        <v>46500000</v>
      </c>
      <c r="I18" s="302">
        <f>+$I$23*C18</f>
        <v>46500000</v>
      </c>
    </row>
    <row r="19" spans="2:10" x14ac:dyDescent="0.45">
      <c r="B19" s="278" t="s">
        <v>325</v>
      </c>
      <c r="C19" s="289">
        <v>0.129</v>
      </c>
      <c r="D19" s="291">
        <f>+$D$23*C19</f>
        <v>193500000</v>
      </c>
      <c r="E19" s="291">
        <f>+$E$23*C19</f>
        <v>96750000</v>
      </c>
      <c r="F19" s="291">
        <f>+$F$23*C19</f>
        <v>48375000</v>
      </c>
      <c r="G19" s="291">
        <f t="shared" ref="G19:G22" si="3">+$G$23*C19</f>
        <v>48375000</v>
      </c>
      <c r="H19" s="291">
        <f t="shared" ref="H19:H22" si="4">+$H$23*C19</f>
        <v>48375000</v>
      </c>
      <c r="I19" s="302">
        <f t="shared" ref="I19:I22" si="5">+$I$23*C19</f>
        <v>48375000</v>
      </c>
    </row>
    <row r="20" spans="2:10" x14ac:dyDescent="0.45">
      <c r="B20" s="278" t="s">
        <v>327</v>
      </c>
      <c r="C20" s="289">
        <v>0.249</v>
      </c>
      <c r="D20" s="291">
        <f t="shared" ref="D20:D22" si="6">+$D$23*C20</f>
        <v>373500000</v>
      </c>
      <c r="E20" s="291">
        <f>+$E$23*C20</f>
        <v>186750000</v>
      </c>
      <c r="F20" s="291">
        <f>+$F$23*C20</f>
        <v>93375000</v>
      </c>
      <c r="G20" s="291">
        <f t="shared" si="3"/>
        <v>93375000</v>
      </c>
      <c r="H20" s="291">
        <f t="shared" si="4"/>
        <v>93375000</v>
      </c>
      <c r="I20" s="302">
        <f t="shared" si="5"/>
        <v>93375000</v>
      </c>
    </row>
    <row r="21" spans="2:10" x14ac:dyDescent="0.45">
      <c r="B21" s="278" t="s">
        <v>328</v>
      </c>
      <c r="C21" s="289">
        <v>0.249</v>
      </c>
      <c r="D21" s="291">
        <f>+$D$23*C21</f>
        <v>373500000</v>
      </c>
      <c r="E21" s="291">
        <f t="shared" ref="E21" si="7">+$E$23*C21</f>
        <v>186750000</v>
      </c>
      <c r="F21" s="291">
        <f>+$F$23*C21</f>
        <v>93375000</v>
      </c>
      <c r="G21" s="291">
        <f t="shared" si="3"/>
        <v>93375000</v>
      </c>
      <c r="H21" s="291">
        <f t="shared" si="4"/>
        <v>93375000</v>
      </c>
      <c r="I21" s="302">
        <f t="shared" si="5"/>
        <v>93375000</v>
      </c>
    </row>
    <row r="22" spans="2:10" ht="16.3" thickBot="1" x14ac:dyDescent="0.5">
      <c r="B22" s="281" t="s">
        <v>329</v>
      </c>
      <c r="C22" s="290">
        <v>0.249</v>
      </c>
      <c r="D22" s="291">
        <f t="shared" si="6"/>
        <v>373500000</v>
      </c>
      <c r="E22" s="291">
        <f>+$E$23*C22</f>
        <v>186750000</v>
      </c>
      <c r="F22" s="292">
        <f>+$F$23*C22</f>
        <v>93375000</v>
      </c>
      <c r="G22" s="292">
        <f t="shared" si="3"/>
        <v>93375000</v>
      </c>
      <c r="H22" s="292">
        <f t="shared" si="4"/>
        <v>93375000</v>
      </c>
      <c r="I22" s="303">
        <f t="shared" si="5"/>
        <v>93375000</v>
      </c>
    </row>
    <row r="23" spans="2:10" ht="16.3" thickBot="1" x14ac:dyDescent="0.5">
      <c r="D23" s="284">
        <f>+$I$24*D17</f>
        <v>1500000000</v>
      </c>
      <c r="E23" s="284">
        <f t="shared" ref="E23:I23" si="8">+$I$24*E17</f>
        <v>750000000</v>
      </c>
      <c r="F23" s="284">
        <f t="shared" si="8"/>
        <v>375000000</v>
      </c>
      <c r="G23" s="284">
        <f t="shared" si="8"/>
        <v>375000000</v>
      </c>
      <c r="H23" s="284">
        <f t="shared" si="8"/>
        <v>375000000</v>
      </c>
      <c r="I23" s="287">
        <f t="shared" si="8"/>
        <v>375000000</v>
      </c>
    </row>
    <row r="24" spans="2:10" ht="16.3" thickBot="1" x14ac:dyDescent="0.5">
      <c r="D24" s="8"/>
      <c r="E24" s="8"/>
      <c r="F24" s="8"/>
      <c r="I24" s="287">
        <v>3750000000</v>
      </c>
    </row>
    <row r="31" spans="2:10" ht="16.3" thickBot="1" x14ac:dyDescent="0.5"/>
    <row r="32" spans="2:10" ht="16.3" thickBot="1" x14ac:dyDescent="0.5">
      <c r="B32" s="312" t="s">
        <v>332</v>
      </c>
      <c r="C32" s="313"/>
      <c r="D32" s="295" t="s">
        <v>187</v>
      </c>
      <c r="E32" s="296" t="s">
        <v>188</v>
      </c>
      <c r="F32" s="296" t="s">
        <v>174</v>
      </c>
      <c r="G32" s="296" t="s">
        <v>176</v>
      </c>
      <c r="H32" s="296" t="s">
        <v>179</v>
      </c>
      <c r="I32" s="297" t="s">
        <v>180</v>
      </c>
      <c r="J32" s="314"/>
    </row>
    <row r="33" spans="2:10" ht="16.3" thickBot="1" x14ac:dyDescent="0.5">
      <c r="B33" s="295" t="s">
        <v>331</v>
      </c>
      <c r="C33" s="301" t="s">
        <v>330</v>
      </c>
      <c r="D33" s="298">
        <v>0.4</v>
      </c>
      <c r="E33" s="299">
        <v>0.2</v>
      </c>
      <c r="F33" s="299">
        <v>0.1</v>
      </c>
      <c r="G33" s="299">
        <v>0.1</v>
      </c>
      <c r="H33" s="299">
        <v>0.1</v>
      </c>
      <c r="I33" s="300">
        <v>0.1</v>
      </c>
      <c r="J33" s="315"/>
    </row>
    <row r="34" spans="2:10" x14ac:dyDescent="0.45">
      <c r="B34" s="277" t="s">
        <v>326</v>
      </c>
      <c r="C34" s="304">
        <v>0.25</v>
      </c>
      <c r="D34" s="291">
        <f>+$D$23*C34</f>
        <v>375000000</v>
      </c>
      <c r="E34" s="291">
        <f>+$E$23*C34</f>
        <v>187500000</v>
      </c>
      <c r="F34" s="291">
        <f>+$F$23*C34</f>
        <v>93750000</v>
      </c>
      <c r="G34" s="291">
        <f>+$G$23*C34</f>
        <v>93750000</v>
      </c>
      <c r="H34" s="291">
        <f>+$H$23*C34</f>
        <v>93750000</v>
      </c>
      <c r="I34" s="302">
        <f>+$I$23*C34</f>
        <v>93750000</v>
      </c>
      <c r="J34" s="320">
        <f>+SUM(D34:I34)</f>
        <v>937500000</v>
      </c>
    </row>
    <row r="35" spans="2:10" x14ac:dyDescent="0.45">
      <c r="B35" s="278" t="s">
        <v>325</v>
      </c>
      <c r="C35" s="305">
        <v>0.25</v>
      </c>
      <c r="D35" s="291">
        <f>+$D$23*C35</f>
        <v>375000000</v>
      </c>
      <c r="E35" s="291">
        <f>+$E$23*C35</f>
        <v>187500000</v>
      </c>
      <c r="F35" s="291">
        <f>+$F$23*C35</f>
        <v>93750000</v>
      </c>
      <c r="G35" s="291">
        <f t="shared" ref="G35:G37" si="9">+$G$23*C35</f>
        <v>93750000</v>
      </c>
      <c r="H35" s="291">
        <f t="shared" ref="H35:H37" si="10">+$H$23*C35</f>
        <v>93750000</v>
      </c>
      <c r="I35" s="302">
        <f t="shared" ref="I35:I37" si="11">+$I$23*C35</f>
        <v>93750000</v>
      </c>
      <c r="J35" s="320">
        <f t="shared" ref="J35:J37" si="12">+SUM(D35:I35)</f>
        <v>937500000</v>
      </c>
    </row>
    <row r="36" spans="2:10" x14ac:dyDescent="0.45">
      <c r="B36" s="278" t="s">
        <v>327</v>
      </c>
      <c r="C36" s="305">
        <v>0.25</v>
      </c>
      <c r="D36" s="291">
        <f t="shared" ref="D36" si="13">+$D$23*C36</f>
        <v>375000000</v>
      </c>
      <c r="E36" s="291">
        <f>+$E$23*C36</f>
        <v>187500000</v>
      </c>
      <c r="F36" s="291">
        <f>+$F$23*C36</f>
        <v>93750000</v>
      </c>
      <c r="G36" s="291">
        <f t="shared" si="9"/>
        <v>93750000</v>
      </c>
      <c r="H36" s="291">
        <f t="shared" si="10"/>
        <v>93750000</v>
      </c>
      <c r="I36" s="302">
        <f t="shared" si="11"/>
        <v>93750000</v>
      </c>
      <c r="J36" s="320">
        <f t="shared" si="12"/>
        <v>937500000</v>
      </c>
    </row>
    <row r="37" spans="2:10" ht="16.3" thickBot="1" x14ac:dyDescent="0.5">
      <c r="B37" s="306" t="s">
        <v>328</v>
      </c>
      <c r="C37" s="307">
        <v>0.25</v>
      </c>
      <c r="D37" s="291">
        <f>+$D$23*C37</f>
        <v>375000000</v>
      </c>
      <c r="E37" s="291">
        <f t="shared" ref="E37" si="14">+$E$23*C37</f>
        <v>187500000</v>
      </c>
      <c r="F37" s="291">
        <f>+$F$23*C37</f>
        <v>93750000</v>
      </c>
      <c r="G37" s="291">
        <f t="shared" si="9"/>
        <v>93750000</v>
      </c>
      <c r="H37" s="291">
        <f t="shared" si="10"/>
        <v>93750000</v>
      </c>
      <c r="I37" s="302">
        <f t="shared" si="11"/>
        <v>93750000</v>
      </c>
      <c r="J37" s="320">
        <f t="shared" si="12"/>
        <v>937500000</v>
      </c>
    </row>
    <row r="38" spans="2:10" ht="16.3" thickBot="1" x14ac:dyDescent="0.5">
      <c r="B38" s="316"/>
      <c r="D38" s="284">
        <f t="shared" ref="D38:I38" si="15">+$I$24*D33</f>
        <v>1500000000</v>
      </c>
      <c r="E38" s="284">
        <f t="shared" si="15"/>
        <v>750000000</v>
      </c>
      <c r="F38" s="284">
        <f t="shared" si="15"/>
        <v>375000000</v>
      </c>
      <c r="G38" s="284">
        <f t="shared" si="15"/>
        <v>375000000</v>
      </c>
      <c r="H38" s="284">
        <f t="shared" si="15"/>
        <v>375000000</v>
      </c>
      <c r="I38" s="287">
        <f t="shared" si="15"/>
        <v>375000000</v>
      </c>
      <c r="J38" s="315"/>
    </row>
    <row r="39" spans="2:10" ht="16.3" thickBot="1" x14ac:dyDescent="0.5">
      <c r="B39" s="317"/>
      <c r="C39" s="89"/>
      <c r="D39" s="318"/>
      <c r="E39" s="318"/>
      <c r="F39" s="318"/>
      <c r="G39" s="89"/>
      <c r="H39" s="89"/>
      <c r="I39" s="287">
        <v>3750000000</v>
      </c>
      <c r="J39" s="319"/>
    </row>
    <row r="48" spans="2:10" ht="16.3" hidden="1" thickBot="1" x14ac:dyDescent="0.5"/>
    <row r="49" spans="2:10" ht="16.3" hidden="1" thickBot="1" x14ac:dyDescent="0.5">
      <c r="D49" s="295" t="s">
        <v>187</v>
      </c>
      <c r="E49" s="296" t="s">
        <v>188</v>
      </c>
      <c r="F49" s="296" t="s">
        <v>174</v>
      </c>
      <c r="G49" s="296" t="s">
        <v>176</v>
      </c>
      <c r="H49" s="296" t="s">
        <v>179</v>
      </c>
      <c r="I49" s="297" t="s">
        <v>180</v>
      </c>
    </row>
    <row r="50" spans="2:10" ht="16.3" hidden="1" thickBot="1" x14ac:dyDescent="0.5">
      <c r="B50" s="295" t="s">
        <v>331</v>
      </c>
      <c r="C50" s="301" t="s">
        <v>330</v>
      </c>
      <c r="D50" s="298">
        <v>0.4</v>
      </c>
      <c r="E50" s="299">
        <v>0.2</v>
      </c>
      <c r="F50" s="299">
        <v>0.1</v>
      </c>
      <c r="G50" s="299">
        <v>0.1</v>
      </c>
      <c r="H50" s="299">
        <v>0.1</v>
      </c>
      <c r="I50" s="300">
        <v>0.1</v>
      </c>
    </row>
    <row r="51" spans="2:10" hidden="1" x14ac:dyDescent="0.45">
      <c r="B51" s="277" t="s">
        <v>326</v>
      </c>
      <c r="C51" s="308">
        <f>12.4%+12.5%/2</f>
        <v>0.1865</v>
      </c>
      <c r="D51" s="291">
        <f>+$D$23*C51</f>
        <v>279750000</v>
      </c>
      <c r="E51" s="291">
        <f>+$E$23*C51</f>
        <v>139875000</v>
      </c>
      <c r="F51" s="291">
        <f>+$F$23*C51</f>
        <v>69937500</v>
      </c>
      <c r="G51" s="291">
        <f>+$G$23*C51</f>
        <v>69937500</v>
      </c>
      <c r="H51" s="291">
        <f>+$H$23*C51</f>
        <v>69937500</v>
      </c>
      <c r="I51" s="302">
        <f>+$I$23*C51</f>
        <v>69937500</v>
      </c>
      <c r="J51" s="311">
        <f t="shared" ref="J51:J54" si="16">+SUM(D51:I51)</f>
        <v>699375000</v>
      </c>
    </row>
    <row r="52" spans="2:10" hidden="1" x14ac:dyDescent="0.45">
      <c r="B52" s="278" t="s">
        <v>325</v>
      </c>
      <c r="C52" s="309">
        <f>12.9%+12.5%/2</f>
        <v>0.1915</v>
      </c>
      <c r="D52" s="291">
        <f>+$D$23*C52</f>
        <v>287250000</v>
      </c>
      <c r="E52" s="291">
        <f>+$E$23*C52</f>
        <v>143625000</v>
      </c>
      <c r="F52" s="291">
        <f>+$F$23*C52</f>
        <v>71812500</v>
      </c>
      <c r="G52" s="291">
        <f t="shared" ref="G52:G54" si="17">+$G$23*C52</f>
        <v>71812500</v>
      </c>
      <c r="H52" s="291">
        <f t="shared" ref="H52:H54" si="18">+$H$23*C52</f>
        <v>71812500</v>
      </c>
      <c r="I52" s="302">
        <f t="shared" ref="I52:I54" si="19">+$I$23*C52</f>
        <v>71812500</v>
      </c>
      <c r="J52" s="311">
        <f t="shared" si="16"/>
        <v>718125000</v>
      </c>
    </row>
    <row r="53" spans="2:10" hidden="1" x14ac:dyDescent="0.45">
      <c r="B53" s="278" t="s">
        <v>327</v>
      </c>
      <c r="C53" s="309">
        <v>0.375</v>
      </c>
      <c r="D53" s="291">
        <f t="shared" ref="D53" si="20">+$D$23*C53</f>
        <v>562500000</v>
      </c>
      <c r="E53" s="291">
        <f>+$E$23*C53</f>
        <v>281250000</v>
      </c>
      <c r="F53" s="291">
        <f>+$F$23*C53</f>
        <v>140625000</v>
      </c>
      <c r="G53" s="291">
        <f t="shared" si="17"/>
        <v>140625000</v>
      </c>
      <c r="H53" s="291">
        <f t="shared" si="18"/>
        <v>140625000</v>
      </c>
      <c r="I53" s="302">
        <f t="shared" si="19"/>
        <v>140625000</v>
      </c>
      <c r="J53" s="311">
        <f t="shared" si="16"/>
        <v>1406250000</v>
      </c>
    </row>
    <row r="54" spans="2:10" ht="16.3" hidden="1" thickBot="1" x14ac:dyDescent="0.5">
      <c r="B54" s="306" t="s">
        <v>328</v>
      </c>
      <c r="C54" s="310">
        <v>0.375</v>
      </c>
      <c r="D54" s="291">
        <f>+$D$23*C54</f>
        <v>562500000</v>
      </c>
      <c r="E54" s="291">
        <f t="shared" ref="E54" si="21">+$E$23*C54</f>
        <v>281250000</v>
      </c>
      <c r="F54" s="291">
        <f>+$F$23*C54</f>
        <v>140625000</v>
      </c>
      <c r="G54" s="291">
        <f t="shared" si="17"/>
        <v>140625000</v>
      </c>
      <c r="H54" s="291">
        <f t="shared" si="18"/>
        <v>140625000</v>
      </c>
      <c r="I54" s="302">
        <f t="shared" si="19"/>
        <v>140625000</v>
      </c>
      <c r="J54" s="311">
        <f t="shared" si="16"/>
        <v>1406250000</v>
      </c>
    </row>
    <row r="55" spans="2:10" ht="16.3" hidden="1" thickBot="1" x14ac:dyDescent="0.5">
      <c r="D55" s="284">
        <f t="shared" ref="D55:I55" si="22">+$I$24*D50</f>
        <v>1500000000</v>
      </c>
      <c r="E55" s="284">
        <f t="shared" si="22"/>
        <v>750000000</v>
      </c>
      <c r="F55" s="284">
        <f t="shared" si="22"/>
        <v>375000000</v>
      </c>
      <c r="G55" s="284">
        <f t="shared" si="22"/>
        <v>375000000</v>
      </c>
      <c r="H55" s="284">
        <f t="shared" si="22"/>
        <v>375000000</v>
      </c>
      <c r="I55" s="287">
        <f t="shared" si="22"/>
        <v>375000000</v>
      </c>
    </row>
    <row r="56" spans="2:10" ht="16.3" hidden="1" thickBot="1" x14ac:dyDescent="0.5">
      <c r="D56" s="8"/>
      <c r="E56" s="8"/>
      <c r="F56" s="8"/>
      <c r="I56" s="287">
        <v>3750000000</v>
      </c>
    </row>
    <row r="57" spans="2:10" x14ac:dyDescent="0.45">
      <c r="D57" s="8"/>
      <c r="E57" s="8"/>
      <c r="F57" s="8"/>
      <c r="I57" s="321"/>
    </row>
    <row r="58" spans="2:10" ht="16.3" thickBot="1" x14ac:dyDescent="0.5">
      <c r="D58" s="8"/>
      <c r="E58" s="8"/>
      <c r="F58" s="8"/>
      <c r="I58" s="321"/>
    </row>
    <row r="59" spans="2:10" ht="16.3" thickBot="1" x14ac:dyDescent="0.5">
      <c r="B59" s="295" t="s">
        <v>333</v>
      </c>
      <c r="C59" s="328" t="s">
        <v>334</v>
      </c>
      <c r="D59" s="328" t="s">
        <v>335</v>
      </c>
      <c r="E59" s="328" t="s">
        <v>336</v>
      </c>
      <c r="F59" s="328" t="s">
        <v>337</v>
      </c>
      <c r="G59" s="328" t="s">
        <v>338</v>
      </c>
      <c r="H59" s="297" t="s">
        <v>339</v>
      </c>
      <c r="I59" s="321"/>
    </row>
    <row r="60" spans="2:10" x14ac:dyDescent="0.45">
      <c r="B60" s="277" t="s">
        <v>326</v>
      </c>
      <c r="C60" s="325">
        <f>+J34</f>
        <v>937500000</v>
      </c>
      <c r="D60" s="326">
        <f>+C69</f>
        <v>0.25</v>
      </c>
      <c r="E60" s="335">
        <v>250</v>
      </c>
      <c r="F60" s="336">
        <v>100000</v>
      </c>
      <c r="G60" s="327">
        <f>+E60*F60</f>
        <v>25000000</v>
      </c>
      <c r="H60" s="329">
        <f>+C60-G60</f>
        <v>912500000</v>
      </c>
      <c r="I60" s="321"/>
    </row>
    <row r="61" spans="2:10" x14ac:dyDescent="0.45">
      <c r="B61" s="278" t="s">
        <v>325</v>
      </c>
      <c r="C61" s="322">
        <f t="shared" ref="C61:C63" si="23">+J35</f>
        <v>937500000</v>
      </c>
      <c r="D61" s="323">
        <f t="shared" ref="D61:D63" si="24">+C70</f>
        <v>0.25</v>
      </c>
      <c r="E61" s="337">
        <v>250</v>
      </c>
      <c r="F61" s="338">
        <v>100000</v>
      </c>
      <c r="G61" s="324">
        <f t="shared" ref="G61:G63" si="25">+E61*F61</f>
        <v>25000000</v>
      </c>
      <c r="H61" s="330">
        <f t="shared" ref="H61:H63" si="26">+C61-G61</f>
        <v>912500000</v>
      </c>
      <c r="I61" s="321"/>
    </row>
    <row r="62" spans="2:10" x14ac:dyDescent="0.45">
      <c r="B62" s="278" t="s">
        <v>327</v>
      </c>
      <c r="C62" s="322">
        <f t="shared" si="23"/>
        <v>937500000</v>
      </c>
      <c r="D62" s="323">
        <f t="shared" si="24"/>
        <v>0.25</v>
      </c>
      <c r="E62" s="337">
        <v>250</v>
      </c>
      <c r="F62" s="338">
        <v>100000</v>
      </c>
      <c r="G62" s="324">
        <f t="shared" si="25"/>
        <v>25000000</v>
      </c>
      <c r="H62" s="330">
        <f t="shared" si="26"/>
        <v>912500000</v>
      </c>
      <c r="I62" s="321"/>
    </row>
    <row r="63" spans="2:10" ht="16.3" thickBot="1" x14ac:dyDescent="0.5">
      <c r="B63" s="281" t="s">
        <v>328</v>
      </c>
      <c r="C63" s="331">
        <f t="shared" si="23"/>
        <v>937500000</v>
      </c>
      <c r="D63" s="332">
        <f t="shared" si="24"/>
        <v>0.25</v>
      </c>
      <c r="E63" s="339">
        <v>250</v>
      </c>
      <c r="F63" s="340">
        <v>100000</v>
      </c>
      <c r="G63" s="333">
        <f t="shared" si="25"/>
        <v>25000000</v>
      </c>
      <c r="H63" s="334">
        <f t="shared" si="26"/>
        <v>912500000</v>
      </c>
    </row>
    <row r="66" spans="2:9" ht="16.3" thickBot="1" x14ac:dyDescent="0.5"/>
    <row r="67" spans="2:9" ht="16.3" thickBot="1" x14ac:dyDescent="0.5">
      <c r="B67" s="312" t="s">
        <v>332</v>
      </c>
      <c r="C67" s="313"/>
      <c r="D67" s="295" t="s">
        <v>187</v>
      </c>
      <c r="E67" s="296" t="s">
        <v>188</v>
      </c>
      <c r="F67" s="296" t="s">
        <v>174</v>
      </c>
      <c r="G67" s="296" t="s">
        <v>176</v>
      </c>
      <c r="H67" s="296" t="s">
        <v>179</v>
      </c>
      <c r="I67" s="297" t="s">
        <v>180</v>
      </c>
    </row>
    <row r="68" spans="2:9" ht="16.3" thickBot="1" x14ac:dyDescent="0.5">
      <c r="B68" s="295" t="s">
        <v>331</v>
      </c>
      <c r="C68" s="301" t="s">
        <v>330</v>
      </c>
      <c r="D68" s="298">
        <v>0.4</v>
      </c>
      <c r="E68" s="299">
        <v>0.2</v>
      </c>
      <c r="F68" s="299">
        <v>0.1</v>
      </c>
      <c r="G68" s="299">
        <v>0.1</v>
      </c>
      <c r="H68" s="299">
        <v>0.1</v>
      </c>
      <c r="I68" s="300">
        <v>0.1</v>
      </c>
    </row>
    <row r="69" spans="2:9" x14ac:dyDescent="0.45">
      <c r="B69" s="277" t="s">
        <v>326</v>
      </c>
      <c r="C69" s="304">
        <v>0.25</v>
      </c>
      <c r="D69" s="291">
        <f>+$D$23*C69</f>
        <v>375000000</v>
      </c>
      <c r="E69" s="291">
        <f>+$E$23*C69</f>
        <v>187500000</v>
      </c>
      <c r="F69" s="291">
        <f>+$F$23*C69</f>
        <v>93750000</v>
      </c>
      <c r="G69" s="291">
        <f>+$G$23*C69</f>
        <v>93750000</v>
      </c>
      <c r="H69" s="291">
        <f>+$H$23*C69</f>
        <v>93750000</v>
      </c>
      <c r="I69" s="302">
        <f>+$I$23*C69</f>
        <v>93750000</v>
      </c>
    </row>
    <row r="70" spans="2:9" x14ac:dyDescent="0.45">
      <c r="B70" s="278" t="s">
        <v>325</v>
      </c>
      <c r="C70" s="305">
        <v>0.25</v>
      </c>
      <c r="D70" s="291">
        <f>+$D$23*C70</f>
        <v>375000000</v>
      </c>
      <c r="E70" s="291">
        <f>+$E$23*C70</f>
        <v>187500000</v>
      </c>
      <c r="F70" s="291">
        <f>+$F$23*C70</f>
        <v>93750000</v>
      </c>
      <c r="G70" s="291">
        <f t="shared" ref="G70:G72" si="27">+$G$23*C70</f>
        <v>93750000</v>
      </c>
      <c r="H70" s="291">
        <f t="shared" ref="H70:H72" si="28">+$H$23*C70</f>
        <v>93750000</v>
      </c>
      <c r="I70" s="302">
        <f t="shared" ref="I70:I72" si="29">+$I$23*C70</f>
        <v>93750000</v>
      </c>
    </row>
    <row r="71" spans="2:9" x14ac:dyDescent="0.45">
      <c r="B71" s="278" t="s">
        <v>327</v>
      </c>
      <c r="C71" s="305">
        <v>0.25</v>
      </c>
      <c r="D71" s="291">
        <f t="shared" ref="D71" si="30">+$D$23*C71</f>
        <v>375000000</v>
      </c>
      <c r="E71" s="291">
        <f>+$E$23*C71</f>
        <v>187500000</v>
      </c>
      <c r="F71" s="291">
        <f>+$F$23*C71</f>
        <v>93750000</v>
      </c>
      <c r="G71" s="291">
        <f t="shared" si="27"/>
        <v>93750000</v>
      </c>
      <c r="H71" s="291">
        <f t="shared" si="28"/>
        <v>93750000</v>
      </c>
      <c r="I71" s="302">
        <f t="shared" si="29"/>
        <v>93750000</v>
      </c>
    </row>
    <row r="72" spans="2:9" ht="16.3" thickBot="1" x14ac:dyDescent="0.5">
      <c r="B72" s="306" t="s">
        <v>328</v>
      </c>
      <c r="C72" s="307">
        <v>0.25</v>
      </c>
      <c r="D72" s="291">
        <f>+$D$23*C72</f>
        <v>375000000</v>
      </c>
      <c r="E72" s="291">
        <f t="shared" ref="E72" si="31">+$E$23*C72</f>
        <v>187500000</v>
      </c>
      <c r="F72" s="291">
        <f>+$F$23*C72</f>
        <v>93750000</v>
      </c>
      <c r="G72" s="291">
        <f t="shared" si="27"/>
        <v>93750000</v>
      </c>
      <c r="H72" s="291">
        <f t="shared" si="28"/>
        <v>93750000</v>
      </c>
      <c r="I72" s="302">
        <f t="shared" si="29"/>
        <v>93750000</v>
      </c>
    </row>
    <row r="73" spans="2:9" ht="16.3" thickBot="1" x14ac:dyDescent="0.5">
      <c r="B73" s="316"/>
      <c r="D73" s="284">
        <f t="shared" ref="D73:I73" si="32">+$I$24*D68</f>
        <v>1500000000</v>
      </c>
      <c r="E73" s="284">
        <f t="shared" si="32"/>
        <v>750000000</v>
      </c>
      <c r="F73" s="284">
        <f t="shared" si="32"/>
        <v>375000000</v>
      </c>
      <c r="G73" s="284">
        <f t="shared" si="32"/>
        <v>375000000</v>
      </c>
      <c r="H73" s="284">
        <f t="shared" si="32"/>
        <v>375000000</v>
      </c>
      <c r="I73" s="287">
        <f t="shared" si="32"/>
        <v>375000000</v>
      </c>
    </row>
    <row r="74" spans="2:9" ht="16.3" thickBot="1" x14ac:dyDescent="0.5">
      <c r="B74" s="317"/>
      <c r="C74" s="89"/>
      <c r="D74" s="318"/>
      <c r="E74" s="318"/>
      <c r="F74" s="318"/>
      <c r="G74" s="89"/>
      <c r="H74" s="89"/>
      <c r="I74" s="287">
        <v>3750000000</v>
      </c>
    </row>
  </sheetData>
  <phoneticPr fontId="3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927FE-AF3A-43F7-AB00-1C16A12D2A9D}">
  <dimension ref="A1"/>
  <sheetViews>
    <sheetView workbookViewId="0">
      <selection activeCell="B2" sqref="B2:I10"/>
    </sheetView>
  </sheetViews>
  <sheetFormatPr defaultColWidth="10.85546875" defaultRowHeight="15.9" x14ac:dyDescent="0.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956ED-A559-A242-AA75-EE33AE18BADC}">
  <dimension ref="B1:DY50"/>
  <sheetViews>
    <sheetView topLeftCell="A33" workbookViewId="0">
      <selection activeCell="C42" sqref="C42:F53"/>
    </sheetView>
  </sheetViews>
  <sheetFormatPr defaultColWidth="12.85546875" defaultRowHeight="14.6" x14ac:dyDescent="0.4"/>
  <cols>
    <col min="1" max="1" width="7.35546875" style="86" customWidth="1"/>
    <col min="2" max="2" width="31" style="86" customWidth="1"/>
    <col min="3" max="3" width="27.640625" style="86" bestFit="1" customWidth="1"/>
    <col min="4" max="4" width="16.2109375" style="86" bestFit="1" customWidth="1"/>
    <col min="5" max="5" width="12.640625" style="86" bestFit="1" customWidth="1"/>
    <col min="6" max="6" width="13.640625" style="86" bestFit="1" customWidth="1"/>
    <col min="7" max="10" width="13.85546875" style="86" bestFit="1" customWidth="1"/>
    <col min="11" max="11" width="16" style="86" bestFit="1" customWidth="1"/>
    <col min="12" max="21" width="13.85546875" style="86" bestFit="1" customWidth="1"/>
    <col min="22" max="24" width="12.640625" style="86" bestFit="1" customWidth="1"/>
    <col min="25" max="32" width="13.640625" style="86" bestFit="1" customWidth="1"/>
    <col min="33" max="33" width="13.85546875" style="86" bestFit="1" customWidth="1"/>
    <col min="34" max="43" width="13.640625" style="86" bestFit="1" customWidth="1"/>
    <col min="44" max="45" width="13.85546875" style="86" bestFit="1" customWidth="1"/>
    <col min="46" max="54" width="13.640625" style="86" bestFit="1" customWidth="1"/>
    <col min="55" max="57" width="13.85546875" style="86" bestFit="1" customWidth="1"/>
    <col min="58" max="111" width="13.640625" style="86" bestFit="1" customWidth="1"/>
    <col min="112" max="129" width="14.640625" style="86" bestFit="1" customWidth="1"/>
    <col min="130" max="16384" width="12.85546875" style="86"/>
  </cols>
  <sheetData>
    <row r="1" spans="2:129" ht="19" customHeight="1" x14ac:dyDescent="0.4">
      <c r="C1" s="348" t="s">
        <v>134</v>
      </c>
      <c r="D1" s="348"/>
      <c r="E1" s="348"/>
      <c r="F1" s="348"/>
      <c r="G1" s="348"/>
      <c r="H1" s="348"/>
      <c r="I1" s="348"/>
      <c r="J1" s="348"/>
      <c r="K1" s="348"/>
      <c r="L1" s="348"/>
      <c r="M1" s="348"/>
      <c r="N1" s="348"/>
    </row>
    <row r="2" spans="2:129" ht="19" customHeight="1" thickBot="1" x14ac:dyDescent="0.45">
      <c r="C2" s="349"/>
      <c r="D2" s="349"/>
      <c r="E2" s="349"/>
      <c r="F2" s="349"/>
      <c r="G2" s="349"/>
      <c r="H2" s="349"/>
      <c r="I2" s="349"/>
      <c r="J2" s="349"/>
      <c r="K2" s="349"/>
      <c r="L2" s="349"/>
      <c r="M2" s="349"/>
      <c r="N2" s="349"/>
    </row>
    <row r="3" spans="2:129" ht="37" customHeight="1" x14ac:dyDescent="0.45">
      <c r="B3" s="110"/>
      <c r="C3" s="103"/>
      <c r="D3" s="103"/>
      <c r="E3" s="103"/>
      <c r="F3" s="103"/>
      <c r="H3" s="103"/>
      <c r="I3" s="103"/>
      <c r="J3" s="105"/>
      <c r="K3" s="105"/>
      <c r="L3" s="105"/>
      <c r="M3" s="105"/>
      <c r="N3" s="105"/>
      <c r="O3" s="105"/>
      <c r="P3" s="105"/>
      <c r="Q3" s="105"/>
      <c r="R3" s="105"/>
      <c r="S3" s="105"/>
      <c r="T3" s="105"/>
      <c r="U3" s="105"/>
      <c r="V3" s="105"/>
      <c r="W3" s="105"/>
      <c r="X3" s="105"/>
      <c r="Y3" s="105"/>
      <c r="Z3" s="105"/>
      <c r="AA3" s="105"/>
      <c r="AB3" s="105"/>
      <c r="AC3" s="105"/>
      <c r="AD3" s="105"/>
      <c r="AE3" s="105"/>
      <c r="AF3" s="105"/>
      <c r="AG3" s="105"/>
    </row>
    <row r="4" spans="2:129" ht="18" customHeight="1" x14ac:dyDescent="0.45">
      <c r="B4" s="110"/>
      <c r="C4" s="103"/>
      <c r="D4" s="352"/>
      <c r="E4" s="352"/>
      <c r="F4" s="352"/>
      <c r="G4" s="352"/>
      <c r="H4" s="352"/>
      <c r="I4" s="352"/>
      <c r="J4" s="105"/>
      <c r="K4" s="105"/>
      <c r="L4" s="105"/>
      <c r="M4" s="105"/>
      <c r="N4" s="105"/>
      <c r="O4" s="105"/>
      <c r="P4" s="105"/>
      <c r="Q4" s="105"/>
      <c r="R4" s="105"/>
      <c r="S4" s="105"/>
      <c r="T4" s="105"/>
      <c r="U4" s="105"/>
      <c r="V4" s="105"/>
      <c r="W4" s="105"/>
      <c r="X4" s="105"/>
      <c r="Y4" s="105"/>
      <c r="Z4" s="105"/>
      <c r="AA4" s="105"/>
      <c r="AB4" s="105"/>
      <c r="AC4" s="105"/>
      <c r="AD4" s="105"/>
      <c r="AE4" s="105"/>
      <c r="AF4" s="105"/>
      <c r="AG4" s="105"/>
    </row>
    <row r="5" spans="2:129" s="100" customFormat="1" ht="16" customHeight="1" thickBot="1" x14ac:dyDescent="0.5">
      <c r="B5" s="267" t="s">
        <v>135</v>
      </c>
      <c r="C5" s="268"/>
      <c r="D5" s="268"/>
      <c r="E5" s="268"/>
      <c r="F5" s="268"/>
      <c r="G5" s="268"/>
      <c r="H5" s="268"/>
      <c r="I5" s="268"/>
      <c r="J5" s="268"/>
      <c r="K5" s="268"/>
      <c r="L5" s="268"/>
      <c r="M5" s="268"/>
      <c r="N5" s="268"/>
      <c r="O5" s="268"/>
      <c r="P5" s="268"/>
      <c r="Q5" s="268"/>
      <c r="R5" s="268"/>
      <c r="S5" s="268"/>
      <c r="T5" s="268"/>
      <c r="U5" s="268"/>
      <c r="V5" s="268"/>
      <c r="W5" s="268"/>
      <c r="X5" s="268"/>
      <c r="Y5" s="268"/>
      <c r="Z5" s="268"/>
      <c r="AA5" s="268"/>
      <c r="AB5" s="268"/>
      <c r="AC5" s="268"/>
      <c r="AD5" s="268"/>
      <c r="AE5" s="268"/>
      <c r="AF5" s="268"/>
      <c r="AG5" s="268"/>
      <c r="AH5" s="268"/>
      <c r="AI5" s="268"/>
      <c r="AJ5" s="268"/>
      <c r="AK5" s="268"/>
      <c r="AL5" s="268"/>
      <c r="AM5" s="268"/>
      <c r="AN5" s="268"/>
      <c r="AO5" s="268"/>
      <c r="AP5" s="268"/>
      <c r="AQ5" s="268"/>
      <c r="AR5" s="268"/>
      <c r="AS5" s="268"/>
      <c r="AT5" s="268"/>
      <c r="AU5" s="268"/>
      <c r="AV5" s="268"/>
      <c r="AW5" s="268"/>
      <c r="AX5" s="268"/>
      <c r="AY5" s="268"/>
      <c r="AZ5" s="268"/>
      <c r="BA5" s="268"/>
      <c r="BB5" s="268"/>
      <c r="BC5" s="268"/>
      <c r="BD5" s="268"/>
      <c r="BE5" s="268"/>
      <c r="BF5" s="268"/>
      <c r="BG5" s="268"/>
      <c r="BH5" s="268"/>
      <c r="BI5" s="268"/>
      <c r="BJ5" s="268"/>
      <c r="BK5" s="268"/>
      <c r="BL5" s="268"/>
      <c r="BM5" s="268"/>
      <c r="BN5" s="268"/>
      <c r="BO5" s="268"/>
      <c r="BP5" s="268"/>
      <c r="BQ5" s="268"/>
      <c r="BR5" s="268"/>
      <c r="BS5" s="268"/>
      <c r="BT5" s="268"/>
      <c r="BU5" s="268"/>
      <c r="BV5" s="268"/>
      <c r="BW5" s="268"/>
      <c r="BX5" s="268"/>
      <c r="BY5" s="268"/>
      <c r="BZ5" s="268"/>
      <c r="CA5" s="97"/>
      <c r="CB5" s="97"/>
      <c r="CC5" s="97"/>
      <c r="CD5" s="97"/>
      <c r="CE5" s="97"/>
      <c r="CF5" s="97"/>
      <c r="CG5" s="97"/>
      <c r="CH5" s="97"/>
      <c r="CI5" s="97"/>
      <c r="CJ5" s="97"/>
      <c r="CK5" s="97"/>
      <c r="CL5" s="97"/>
      <c r="CM5" s="97"/>
      <c r="CN5" s="97"/>
      <c r="CO5" s="97"/>
      <c r="CP5" s="97"/>
      <c r="CQ5" s="97"/>
      <c r="CR5" s="97"/>
      <c r="CS5" s="97"/>
      <c r="CT5" s="97"/>
      <c r="CU5" s="97"/>
      <c r="CV5" s="97"/>
      <c r="CW5" s="97"/>
      <c r="CX5" s="97"/>
      <c r="CY5" s="97"/>
      <c r="CZ5" s="97"/>
      <c r="DA5" s="97"/>
      <c r="DB5" s="97"/>
      <c r="DC5" s="97"/>
      <c r="DD5" s="97"/>
      <c r="DE5" s="97"/>
      <c r="DF5" s="97"/>
      <c r="DG5" s="97"/>
      <c r="DH5" s="97"/>
      <c r="DI5" s="97"/>
      <c r="DJ5" s="97"/>
      <c r="DK5" s="97"/>
      <c r="DL5" s="97"/>
      <c r="DM5" s="97"/>
      <c r="DN5" s="97"/>
      <c r="DO5" s="97"/>
      <c r="DP5" s="97"/>
      <c r="DQ5" s="97"/>
      <c r="DR5" s="97"/>
      <c r="DS5" s="97"/>
      <c r="DT5" s="97"/>
      <c r="DU5" s="97"/>
      <c r="DV5" s="97"/>
      <c r="DW5" s="97"/>
      <c r="DX5" s="97"/>
      <c r="DY5" s="97"/>
    </row>
    <row r="6" spans="2:129" s="100" customFormat="1" ht="16" customHeight="1" x14ac:dyDescent="0.45">
      <c r="B6" s="101" t="s">
        <v>85</v>
      </c>
      <c r="C6" s="269" t="s">
        <v>136</v>
      </c>
      <c r="D6" s="269">
        <v>45566</v>
      </c>
      <c r="E6" s="269">
        <v>45597</v>
      </c>
      <c r="F6" s="269">
        <v>45627</v>
      </c>
      <c r="G6" s="269">
        <v>45658</v>
      </c>
      <c r="H6" s="269">
        <v>45689</v>
      </c>
      <c r="I6" s="269">
        <v>45717</v>
      </c>
      <c r="J6" s="269">
        <v>45748</v>
      </c>
      <c r="K6" s="269">
        <v>45778</v>
      </c>
      <c r="L6" s="269">
        <v>45809</v>
      </c>
      <c r="M6" s="269">
        <v>45839</v>
      </c>
      <c r="N6" s="269">
        <v>45870</v>
      </c>
      <c r="O6" s="269">
        <v>45901</v>
      </c>
      <c r="P6" s="269">
        <v>45931</v>
      </c>
      <c r="Q6" s="269">
        <v>45962</v>
      </c>
      <c r="R6" s="269">
        <v>45992</v>
      </c>
      <c r="S6" s="269">
        <v>46023</v>
      </c>
      <c r="T6" s="269">
        <v>46054</v>
      </c>
      <c r="U6" s="269">
        <v>46082</v>
      </c>
      <c r="V6" s="269">
        <v>46113</v>
      </c>
      <c r="W6" s="269">
        <v>46143</v>
      </c>
      <c r="X6" s="269">
        <v>46174</v>
      </c>
      <c r="Y6" s="269">
        <v>46204</v>
      </c>
      <c r="Z6" s="269">
        <v>46235</v>
      </c>
      <c r="AA6" s="269">
        <v>46266</v>
      </c>
      <c r="AB6" s="269">
        <v>46296</v>
      </c>
      <c r="AC6" s="269">
        <v>46327</v>
      </c>
      <c r="AD6" s="269">
        <v>46357</v>
      </c>
      <c r="AE6" s="269">
        <v>46388</v>
      </c>
      <c r="AF6" s="269">
        <v>46419</v>
      </c>
      <c r="AG6" s="269">
        <v>46447</v>
      </c>
      <c r="AH6" s="269">
        <v>46478</v>
      </c>
      <c r="AI6" s="269">
        <v>46508</v>
      </c>
      <c r="AJ6" s="269">
        <v>46539</v>
      </c>
      <c r="AK6" s="269">
        <v>46569</v>
      </c>
      <c r="AL6" s="269">
        <v>46600</v>
      </c>
      <c r="AM6" s="269">
        <v>46631</v>
      </c>
      <c r="AN6" s="269">
        <v>46661</v>
      </c>
      <c r="AO6" s="269">
        <v>46692</v>
      </c>
      <c r="AP6" s="269">
        <v>46722</v>
      </c>
      <c r="AQ6" s="269">
        <v>46753</v>
      </c>
      <c r="AR6" s="269">
        <v>46784</v>
      </c>
      <c r="AS6" s="269">
        <v>46813</v>
      </c>
      <c r="AT6" s="269">
        <v>46844</v>
      </c>
      <c r="AU6" s="269">
        <v>46874</v>
      </c>
      <c r="AV6" s="269">
        <v>46905</v>
      </c>
      <c r="AW6" s="269">
        <v>46935</v>
      </c>
      <c r="AX6" s="269">
        <v>46966</v>
      </c>
      <c r="AY6" s="269">
        <v>46997</v>
      </c>
      <c r="AZ6" s="269">
        <v>47027</v>
      </c>
      <c r="BA6" s="269">
        <v>47058</v>
      </c>
      <c r="BB6" s="269">
        <v>47088</v>
      </c>
      <c r="BC6" s="269">
        <v>47119</v>
      </c>
      <c r="BD6" s="269">
        <v>47150</v>
      </c>
      <c r="BE6" s="269">
        <v>47178</v>
      </c>
      <c r="BF6" s="269">
        <v>47209</v>
      </c>
      <c r="BG6" s="269">
        <v>47239</v>
      </c>
      <c r="BH6" s="269">
        <v>47270</v>
      </c>
      <c r="BI6" s="269">
        <v>47300</v>
      </c>
      <c r="BJ6" s="269">
        <v>47331</v>
      </c>
      <c r="BK6" s="269">
        <v>47362</v>
      </c>
      <c r="BL6" s="269">
        <v>47392</v>
      </c>
      <c r="BM6" s="269">
        <v>47423</v>
      </c>
      <c r="BN6" s="269">
        <v>47453</v>
      </c>
      <c r="BO6" s="269">
        <v>47484</v>
      </c>
      <c r="BP6" s="269">
        <v>47515</v>
      </c>
      <c r="BQ6" s="269">
        <v>47543</v>
      </c>
      <c r="BR6" s="269">
        <v>47574</v>
      </c>
      <c r="BS6" s="269">
        <v>47604</v>
      </c>
      <c r="BT6" s="269">
        <v>47635</v>
      </c>
      <c r="BU6" s="269">
        <v>47665</v>
      </c>
      <c r="BV6" s="269">
        <v>47696</v>
      </c>
      <c r="BW6" s="269">
        <v>47727</v>
      </c>
      <c r="BX6" s="269">
        <v>47757</v>
      </c>
      <c r="BY6" s="269">
        <v>47788</v>
      </c>
      <c r="BZ6" s="269">
        <v>47818</v>
      </c>
      <c r="CA6" s="269"/>
      <c r="CB6" s="269"/>
      <c r="CC6" s="269"/>
      <c r="CD6" s="269"/>
      <c r="CE6" s="269"/>
      <c r="CF6" s="269"/>
      <c r="CG6" s="269"/>
      <c r="CH6" s="269"/>
      <c r="CI6" s="269"/>
      <c r="CJ6" s="269"/>
      <c r="CK6" s="269"/>
      <c r="CL6" s="269"/>
      <c r="CM6" s="269"/>
      <c r="CN6" s="269"/>
      <c r="CO6" s="269"/>
      <c r="CP6" s="269"/>
      <c r="CQ6" s="269"/>
      <c r="CR6" s="269"/>
      <c r="CS6" s="269"/>
      <c r="CT6" s="269"/>
      <c r="CU6" s="269"/>
      <c r="CV6" s="269"/>
      <c r="CW6" s="269"/>
      <c r="CX6" s="269"/>
      <c r="CY6" s="269"/>
      <c r="CZ6" s="269"/>
      <c r="DA6" s="269"/>
      <c r="DB6" s="269"/>
      <c r="DC6" s="269"/>
      <c r="DD6" s="269"/>
      <c r="DE6" s="269"/>
      <c r="DF6" s="269"/>
      <c r="DG6" s="269"/>
      <c r="DH6" s="269"/>
      <c r="DI6" s="269"/>
      <c r="DJ6" s="269"/>
      <c r="DK6" s="269"/>
      <c r="DL6" s="269"/>
      <c r="DM6" s="269"/>
      <c r="DN6" s="269"/>
      <c r="DO6" s="269"/>
      <c r="DP6" s="269"/>
      <c r="DQ6" s="269"/>
      <c r="DR6" s="269"/>
      <c r="DS6" s="269"/>
      <c r="DT6" s="269"/>
      <c r="DU6" s="269"/>
      <c r="DV6" s="269"/>
      <c r="DW6" s="269"/>
      <c r="DX6" s="269"/>
      <c r="DY6" s="269"/>
    </row>
    <row r="7" spans="2:129" s="103" customFormat="1" ht="16" customHeight="1" x14ac:dyDescent="0.45">
      <c r="B7" s="104" t="s">
        <v>94</v>
      </c>
      <c r="C7" s="270"/>
      <c r="D7" s="270"/>
      <c r="E7" s="270"/>
      <c r="F7" s="270"/>
      <c r="G7" s="270"/>
      <c r="H7" s="270"/>
      <c r="I7" s="270"/>
      <c r="J7" s="270"/>
      <c r="K7" s="255">
        <f>'FC - BT Inversionista'!$D$33/12</f>
        <v>187166.66666666666</v>
      </c>
      <c r="L7" s="255">
        <f>'FC - BT Inversionista'!$D$33/12</f>
        <v>187166.66666666666</v>
      </c>
      <c r="M7" s="255">
        <f>'FC - BT Inversionista'!$D$33/12</f>
        <v>187166.66666666666</v>
      </c>
      <c r="N7" s="255">
        <f>'FC - BT Inversionista'!$D$33/12</f>
        <v>187166.66666666666</v>
      </c>
      <c r="O7" s="255">
        <f>'FC - BT Inversionista'!$D$33/12</f>
        <v>187166.66666666666</v>
      </c>
      <c r="P7" s="255">
        <f>'FC - BT Inversionista'!$D$33/12</f>
        <v>187166.66666666666</v>
      </c>
      <c r="Q7" s="255">
        <f>'FC - BT Inversionista'!$D$33/12</f>
        <v>187166.66666666666</v>
      </c>
      <c r="R7" s="255">
        <f>'FC - BT Inversionista'!$D$33/12</f>
        <v>187166.66666666666</v>
      </c>
      <c r="S7" s="255">
        <f>'FC - BT Inversionista'!$E$33/12</f>
        <v>186353.45977011495</v>
      </c>
      <c r="T7" s="255">
        <f>'FC - BT Inversionista'!$E$33/12</f>
        <v>186353.45977011495</v>
      </c>
      <c r="U7" s="255">
        <f>'FC - BT Inversionista'!$E$33/12</f>
        <v>186353.45977011495</v>
      </c>
      <c r="V7" s="255">
        <f>'FC - BT Inversionista'!$E$33/12</f>
        <v>186353.45977011495</v>
      </c>
      <c r="W7" s="255">
        <f>'FC - BT Inversionista'!$E$33/12</f>
        <v>186353.45977011495</v>
      </c>
      <c r="X7" s="255">
        <f>'FC - BT Inversionista'!$E$33/12</f>
        <v>186353.45977011495</v>
      </c>
      <c r="Y7" s="255">
        <f>'FC - BT Inversionista'!$E$33/12</f>
        <v>186353.45977011495</v>
      </c>
      <c r="Z7" s="255">
        <f>'FC - BT Inversionista'!$E$33/12</f>
        <v>186353.45977011495</v>
      </c>
      <c r="AA7" s="255">
        <f>'FC - BT Inversionista'!$E$33/12</f>
        <v>186353.45977011495</v>
      </c>
      <c r="AB7" s="255">
        <f>'FC - BT Inversionista'!$E$33/12</f>
        <v>186353.45977011495</v>
      </c>
      <c r="AC7" s="255">
        <f>'FC - BT Inversionista'!$E$33/12</f>
        <v>186353.45977011495</v>
      </c>
      <c r="AD7" s="255">
        <f>'FC - BT Inversionista'!$E$33/12</f>
        <v>186353.45977011495</v>
      </c>
      <c r="AE7" s="255">
        <f>'FC - BT Inversionista'!$F$33/12</f>
        <v>185540.25287356321</v>
      </c>
      <c r="AF7" s="255">
        <f>'FC - BT Inversionista'!$F$33/12</f>
        <v>185540.25287356321</v>
      </c>
      <c r="AG7" s="255">
        <f>'FC - BT Inversionista'!$F$33/12</f>
        <v>185540.25287356321</v>
      </c>
      <c r="AH7" s="255">
        <f>'FC - BT Inversionista'!$F$33/12</f>
        <v>185540.25287356321</v>
      </c>
      <c r="AI7" s="255">
        <f>'FC - BT Inversionista'!$F$33/12</f>
        <v>185540.25287356321</v>
      </c>
      <c r="AJ7" s="255">
        <f>'FC - BT Inversionista'!$F$33/12</f>
        <v>185540.25287356321</v>
      </c>
      <c r="AK7" s="255">
        <f>'FC - BT Inversionista'!$F$33/12</f>
        <v>185540.25287356321</v>
      </c>
      <c r="AL7" s="255">
        <f>'FC - BT Inversionista'!$F$33/12</f>
        <v>185540.25287356321</v>
      </c>
      <c r="AM7" s="255">
        <f>'FC - BT Inversionista'!$F$33/12</f>
        <v>185540.25287356321</v>
      </c>
      <c r="AN7" s="255">
        <f>'FC - BT Inversionista'!$F$33/12</f>
        <v>185540.25287356321</v>
      </c>
      <c r="AO7" s="255">
        <f>'FC - BT Inversionista'!$F$33/12</f>
        <v>185540.25287356321</v>
      </c>
      <c r="AP7" s="255">
        <f>'FC - BT Inversionista'!$F$33/12</f>
        <v>185540.25287356321</v>
      </c>
      <c r="AQ7" s="255">
        <f>'FC - BT Inversionista'!$G$33/12</f>
        <v>184727.04597701147</v>
      </c>
      <c r="AR7" s="255">
        <f>'FC - BT Inversionista'!$G$33/12</f>
        <v>184727.04597701147</v>
      </c>
      <c r="AS7" s="255">
        <f>'FC - BT Inversionista'!$G$33/12</f>
        <v>184727.04597701147</v>
      </c>
      <c r="AT7" s="255">
        <f>'FC - BT Inversionista'!$G$33/12</f>
        <v>184727.04597701147</v>
      </c>
      <c r="AU7" s="255">
        <f>'FC - BT Inversionista'!$G$33/12</f>
        <v>184727.04597701147</v>
      </c>
      <c r="AV7" s="255">
        <f>'FC - BT Inversionista'!$G$33/12</f>
        <v>184727.04597701147</v>
      </c>
      <c r="AW7" s="255">
        <f>'FC - BT Inversionista'!$G$33/12</f>
        <v>184727.04597701147</v>
      </c>
      <c r="AX7" s="255">
        <f>'FC - BT Inversionista'!$G$33/12</f>
        <v>184727.04597701147</v>
      </c>
      <c r="AY7" s="255">
        <f>'FC - BT Inversionista'!$G$33/12</f>
        <v>184727.04597701147</v>
      </c>
      <c r="AZ7" s="255">
        <f>'FC - BT Inversionista'!$G$33/12</f>
        <v>184727.04597701147</v>
      </c>
      <c r="BA7" s="255">
        <f>'FC - BT Inversionista'!$G$33/12</f>
        <v>184727.04597701147</v>
      </c>
      <c r="BB7" s="255">
        <f>'FC - BT Inversionista'!$G$33/12</f>
        <v>184727.04597701147</v>
      </c>
      <c r="BC7" s="255">
        <f>'FC - BT Inversionista'!$H$33/12</f>
        <v>183913.83908045976</v>
      </c>
      <c r="BD7" s="255">
        <f>'FC - BT Inversionista'!$H$33/12</f>
        <v>183913.83908045976</v>
      </c>
      <c r="BE7" s="255">
        <f>'FC - BT Inversionista'!$H$33/12</f>
        <v>183913.83908045976</v>
      </c>
      <c r="BF7" s="255">
        <f>'FC - BT Inversionista'!$H$33/12</f>
        <v>183913.83908045976</v>
      </c>
      <c r="BG7" s="255">
        <f>'FC - BT Inversionista'!$H$33/12</f>
        <v>183913.83908045976</v>
      </c>
      <c r="BH7" s="255">
        <f>'FC - BT Inversionista'!$H$33/12</f>
        <v>183913.83908045976</v>
      </c>
      <c r="BI7" s="255">
        <f>'FC - BT Inversionista'!$H$33/12</f>
        <v>183913.83908045976</v>
      </c>
      <c r="BJ7" s="255">
        <f>'FC - BT Inversionista'!$H$33/12</f>
        <v>183913.83908045976</v>
      </c>
      <c r="BK7" s="255">
        <f>'FC - BT Inversionista'!$H$33/12</f>
        <v>183913.83908045976</v>
      </c>
      <c r="BL7" s="255">
        <f>'FC - BT Inversionista'!$H$33/12</f>
        <v>183913.83908045976</v>
      </c>
      <c r="BM7" s="255">
        <f>'FC - BT Inversionista'!$H$33/12</f>
        <v>183913.83908045976</v>
      </c>
      <c r="BN7" s="255">
        <f>'FC - BT Inversionista'!$H$33/12</f>
        <v>183913.83908045976</v>
      </c>
      <c r="BO7" s="255">
        <f>'FC - BT Inversionista'!$I$33/12</f>
        <v>183100.63218390802</v>
      </c>
      <c r="BP7" s="255">
        <f>'FC - BT Inversionista'!$I$33/12</f>
        <v>183100.63218390802</v>
      </c>
      <c r="BQ7" s="255">
        <f>'FC - BT Inversionista'!$I$33/12</f>
        <v>183100.63218390802</v>
      </c>
      <c r="BR7" s="255">
        <f>'FC - BT Inversionista'!$I$33/12</f>
        <v>183100.63218390802</v>
      </c>
      <c r="BS7" s="255">
        <f>'FC - BT Inversionista'!$I$33/12</f>
        <v>183100.63218390802</v>
      </c>
      <c r="BT7" s="255">
        <f>'FC - BT Inversionista'!$I$33/12</f>
        <v>183100.63218390802</v>
      </c>
      <c r="BU7" s="255">
        <f>'FC - BT Inversionista'!$I$33/12</f>
        <v>183100.63218390802</v>
      </c>
      <c r="BV7" s="255">
        <f>'FC - BT Inversionista'!$I$33/12</f>
        <v>183100.63218390802</v>
      </c>
      <c r="BW7" s="255">
        <f>'FC - BT Inversionista'!$I$33/12</f>
        <v>183100.63218390802</v>
      </c>
      <c r="BX7" s="255">
        <f>'FC - BT Inversionista'!$I$33/12</f>
        <v>183100.63218390802</v>
      </c>
      <c r="BY7" s="255">
        <f>'FC - BT Inversionista'!$I$33/12</f>
        <v>183100.63218390802</v>
      </c>
      <c r="BZ7" s="255">
        <f>'FC - BT Inversionista'!$I$33/12</f>
        <v>183100.63218390802</v>
      </c>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row>
    <row r="8" spans="2:129" s="103" customFormat="1" ht="16" customHeight="1" x14ac:dyDescent="0.45">
      <c r="B8" s="104" t="s">
        <v>95</v>
      </c>
      <c r="C8" s="108"/>
      <c r="D8" s="108"/>
      <c r="E8" s="108"/>
      <c r="F8" s="108"/>
      <c r="G8" s="108"/>
      <c r="H8" s="108"/>
      <c r="I8" s="108"/>
      <c r="J8" s="108"/>
      <c r="K8" s="108">
        <f>'FC - BT Inversionista'!$D$34</f>
        <v>421.58000000000004</v>
      </c>
      <c r="L8" s="108">
        <f>'FC - BT Inversionista'!$D$34</f>
        <v>421.58000000000004</v>
      </c>
      <c r="M8" s="108">
        <f>'FC - BT Inversionista'!$D$34</f>
        <v>421.58000000000004</v>
      </c>
      <c r="N8" s="108">
        <f>'FC - BT Inversionista'!$D$34</f>
        <v>421.58000000000004</v>
      </c>
      <c r="O8" s="108">
        <f>'FC - BT Inversionista'!$D$34</f>
        <v>421.58000000000004</v>
      </c>
      <c r="P8" s="108">
        <f>'FC - BT Inversionista'!$D$34</f>
        <v>421.58000000000004</v>
      </c>
      <c r="Q8" s="108">
        <f>'FC - BT Inversionista'!$D$34</f>
        <v>421.58000000000004</v>
      </c>
      <c r="R8" s="108">
        <f>'FC - BT Inversionista'!$D$34</f>
        <v>421.58000000000004</v>
      </c>
      <c r="S8" s="108">
        <f>'FC - BT Inversionista'!$E$34</f>
        <v>402.21300000000008</v>
      </c>
      <c r="T8" s="108">
        <f>'FC - BT Inversionista'!$E$34</f>
        <v>402.21300000000008</v>
      </c>
      <c r="U8" s="108">
        <f>'FC - BT Inversionista'!$E$34</f>
        <v>402.21300000000008</v>
      </c>
      <c r="V8" s="108">
        <f>'FC - BT Inversionista'!$E$34</f>
        <v>402.21300000000008</v>
      </c>
      <c r="W8" s="108">
        <f>'FC - BT Inversionista'!$E$34</f>
        <v>402.21300000000008</v>
      </c>
      <c r="X8" s="108">
        <f>'FC - BT Inversionista'!$E$34</f>
        <v>402.21300000000008</v>
      </c>
      <c r="Y8" s="108">
        <f>'FC - BT Inversionista'!$E$34</f>
        <v>402.21300000000008</v>
      </c>
      <c r="Z8" s="108">
        <f>'FC - BT Inversionista'!$E$34</f>
        <v>402.21300000000008</v>
      </c>
      <c r="AA8" s="108">
        <f>'FC - BT Inversionista'!$E$34</f>
        <v>402.21300000000008</v>
      </c>
      <c r="AB8" s="108">
        <f>'FC - BT Inversionista'!$E$34</f>
        <v>402.21300000000008</v>
      </c>
      <c r="AC8" s="108">
        <f>'FC - BT Inversionista'!$E$34</f>
        <v>402.21300000000008</v>
      </c>
      <c r="AD8" s="108">
        <f>'FC - BT Inversionista'!$E$34</f>
        <v>402.21300000000008</v>
      </c>
      <c r="AE8" s="108">
        <f>'FC - BT Inversionista'!$F$34</f>
        <v>410.52690000000007</v>
      </c>
      <c r="AF8" s="108">
        <f>'FC - BT Inversionista'!$F$34</f>
        <v>410.52690000000007</v>
      </c>
      <c r="AG8" s="108">
        <f>'FC - BT Inversionista'!$F$34</f>
        <v>410.52690000000007</v>
      </c>
      <c r="AH8" s="108">
        <f>'FC - BT Inversionista'!$F$34</f>
        <v>410.52690000000007</v>
      </c>
      <c r="AI8" s="108">
        <f>'FC - BT Inversionista'!$F$34</f>
        <v>410.52690000000007</v>
      </c>
      <c r="AJ8" s="108">
        <f>'FC - BT Inversionista'!$F$34</f>
        <v>410.52690000000007</v>
      </c>
      <c r="AK8" s="108">
        <f>'FC - BT Inversionista'!$F$34</f>
        <v>410.52690000000007</v>
      </c>
      <c r="AL8" s="108">
        <f>'FC - BT Inversionista'!$F$34</f>
        <v>410.52690000000007</v>
      </c>
      <c r="AM8" s="108">
        <f>'FC - BT Inversionista'!$F$34</f>
        <v>410.52690000000007</v>
      </c>
      <c r="AN8" s="108">
        <f>'FC - BT Inversionista'!$F$34</f>
        <v>410.52690000000007</v>
      </c>
      <c r="AO8" s="108">
        <f>'FC - BT Inversionista'!$F$34</f>
        <v>410.52690000000007</v>
      </c>
      <c r="AP8" s="108">
        <f>'FC - BT Inversionista'!$F$34</f>
        <v>410.52690000000007</v>
      </c>
      <c r="AQ8" s="108">
        <f>'FC - BT Inversionista'!$G$34</f>
        <v>421.14397500000013</v>
      </c>
      <c r="AR8" s="108">
        <f>'FC - BT Inversionista'!$G$34</f>
        <v>421.14397500000013</v>
      </c>
      <c r="AS8" s="108">
        <f>'FC - BT Inversionista'!$G$34</f>
        <v>421.14397500000013</v>
      </c>
      <c r="AT8" s="108">
        <f>'FC - BT Inversionista'!$G$34</f>
        <v>421.14397500000013</v>
      </c>
      <c r="AU8" s="108">
        <f>'FC - BT Inversionista'!$G$34</f>
        <v>421.14397500000013</v>
      </c>
      <c r="AV8" s="108">
        <f>'FC - BT Inversionista'!$G$34</f>
        <v>421.14397500000013</v>
      </c>
      <c r="AW8" s="108">
        <f>'FC - BT Inversionista'!$G$34</f>
        <v>421.14397500000013</v>
      </c>
      <c r="AX8" s="108">
        <f>'FC - BT Inversionista'!$G$34</f>
        <v>421.14397500000013</v>
      </c>
      <c r="AY8" s="108">
        <f>'FC - BT Inversionista'!$G$34</f>
        <v>421.14397500000013</v>
      </c>
      <c r="AZ8" s="108">
        <f>'FC - BT Inversionista'!$G$34</f>
        <v>421.14397500000013</v>
      </c>
      <c r="BA8" s="108">
        <f>'FC - BT Inversionista'!$G$34</f>
        <v>421.14397500000013</v>
      </c>
      <c r="BB8" s="108">
        <f>'FC - BT Inversionista'!$G$34</f>
        <v>421.14397500000013</v>
      </c>
      <c r="BC8" s="108">
        <f>'FC - BT Inversionista'!$H$34</f>
        <v>455.20709062500021</v>
      </c>
      <c r="BD8" s="108">
        <f>'FC - BT Inversionista'!$H$34</f>
        <v>455.20709062500021</v>
      </c>
      <c r="BE8" s="108">
        <f>'FC - BT Inversionista'!$H$34</f>
        <v>455.20709062500021</v>
      </c>
      <c r="BF8" s="108">
        <f>'FC - BT Inversionista'!$H$34</f>
        <v>455.20709062500021</v>
      </c>
      <c r="BG8" s="108">
        <f>'FC - BT Inversionista'!$H$34</f>
        <v>455.20709062500021</v>
      </c>
      <c r="BH8" s="108">
        <f>'FC - BT Inversionista'!$H$34</f>
        <v>455.20709062500021</v>
      </c>
      <c r="BI8" s="108">
        <f>'FC - BT Inversionista'!$H$34</f>
        <v>455.20709062500021</v>
      </c>
      <c r="BJ8" s="108">
        <f>'FC - BT Inversionista'!$H$34</f>
        <v>455.20709062500021</v>
      </c>
      <c r="BK8" s="108">
        <f>'FC - BT Inversionista'!$H$34</f>
        <v>455.20709062500021</v>
      </c>
      <c r="BL8" s="108">
        <f>'FC - BT Inversionista'!$H$34</f>
        <v>455.20709062500021</v>
      </c>
      <c r="BM8" s="108">
        <f>'FC - BT Inversionista'!$H$34</f>
        <v>455.20709062500021</v>
      </c>
      <c r="BN8" s="108">
        <f>'FC - BT Inversionista'!$H$34</f>
        <v>455.20709062500021</v>
      </c>
      <c r="BO8" s="108">
        <f>'FC - BT Inversionista'!$I$34</f>
        <v>501.18300677812528</v>
      </c>
      <c r="BP8" s="108">
        <f>'FC - BT Inversionista'!$I$34</f>
        <v>501.18300677812528</v>
      </c>
      <c r="BQ8" s="108">
        <f>'FC - BT Inversionista'!$I$34</f>
        <v>501.18300677812528</v>
      </c>
      <c r="BR8" s="108">
        <f>'FC - BT Inversionista'!$I$34</f>
        <v>501.18300677812528</v>
      </c>
      <c r="BS8" s="108">
        <f>'FC - BT Inversionista'!$I$34</f>
        <v>501.18300677812528</v>
      </c>
      <c r="BT8" s="108">
        <f>'FC - BT Inversionista'!$I$34</f>
        <v>501.18300677812528</v>
      </c>
      <c r="BU8" s="108">
        <f>'FC - BT Inversionista'!$I$34</f>
        <v>501.18300677812528</v>
      </c>
      <c r="BV8" s="108">
        <f>'FC - BT Inversionista'!$I$34</f>
        <v>501.18300677812528</v>
      </c>
      <c r="BW8" s="108">
        <f>'FC - BT Inversionista'!$I$34</f>
        <v>501.18300677812528</v>
      </c>
      <c r="BX8" s="108">
        <f>'FC - BT Inversionista'!$I$34</f>
        <v>501.18300677812528</v>
      </c>
      <c r="BY8" s="108">
        <f>'FC - BT Inversionista'!$I$34</f>
        <v>501.18300677812528</v>
      </c>
      <c r="BZ8" s="108">
        <f>'FC - BT Inversionista'!$I$34</f>
        <v>501.18300677812528</v>
      </c>
      <c r="CA8" s="108"/>
      <c r="CB8" s="108"/>
      <c r="CC8" s="108"/>
      <c r="CD8" s="108"/>
      <c r="CE8" s="108"/>
      <c r="CF8" s="108"/>
      <c r="CG8" s="108"/>
      <c r="CH8" s="108"/>
      <c r="CI8" s="108"/>
      <c r="CJ8" s="108"/>
      <c r="CK8" s="108"/>
      <c r="CL8" s="108"/>
      <c r="CM8" s="108"/>
      <c r="CN8" s="108"/>
      <c r="CO8" s="108"/>
      <c r="CP8" s="108"/>
      <c r="CQ8" s="108"/>
      <c r="CR8" s="108"/>
      <c r="CS8" s="108"/>
      <c r="CT8" s="108"/>
      <c r="CU8" s="108"/>
      <c r="CV8" s="108"/>
      <c r="CW8" s="108"/>
      <c r="CX8" s="108"/>
      <c r="CY8" s="108"/>
      <c r="CZ8" s="108"/>
      <c r="DA8" s="108"/>
      <c r="DB8" s="108"/>
      <c r="DC8" s="108"/>
      <c r="DD8" s="108"/>
      <c r="DE8" s="108"/>
      <c r="DF8" s="108"/>
      <c r="DG8" s="108"/>
      <c r="DH8" s="108"/>
      <c r="DI8" s="108"/>
      <c r="DJ8" s="108"/>
      <c r="DK8" s="108"/>
      <c r="DL8" s="108"/>
      <c r="DM8" s="108"/>
      <c r="DN8" s="108"/>
      <c r="DO8" s="108"/>
      <c r="DP8" s="108"/>
      <c r="DQ8" s="108"/>
      <c r="DR8" s="108"/>
      <c r="DS8" s="108"/>
      <c r="DT8" s="108"/>
      <c r="DU8" s="108"/>
      <c r="DV8" s="108"/>
      <c r="DW8" s="108"/>
      <c r="DX8" s="108"/>
      <c r="DY8" s="108"/>
    </row>
    <row r="9" spans="2:129" s="103" customFormat="1" ht="16" customHeight="1" x14ac:dyDescent="0.45">
      <c r="B9" s="104" t="s">
        <v>96</v>
      </c>
      <c r="C9" s="102"/>
      <c r="D9" s="102"/>
      <c r="E9" s="102"/>
      <c r="F9" s="102"/>
      <c r="G9" s="102"/>
      <c r="H9" s="102"/>
      <c r="I9" s="102"/>
      <c r="J9" s="102"/>
      <c r="K9" s="102">
        <f>'FC - BT Inversionista'!$D$35/12</f>
        <v>78905723.333333343</v>
      </c>
      <c r="L9" s="102">
        <f>'FC - BT Inversionista'!$D$35/12</f>
        <v>78905723.333333343</v>
      </c>
      <c r="M9" s="102">
        <f>'FC - BT Inversionista'!$D$35/12</f>
        <v>78905723.333333343</v>
      </c>
      <c r="N9" s="102">
        <f>'FC - BT Inversionista'!$D$35/12</f>
        <v>78905723.333333343</v>
      </c>
      <c r="O9" s="102">
        <f>'FC - BT Inversionista'!$D$35/12</f>
        <v>78905723.333333343</v>
      </c>
      <c r="P9" s="102">
        <f>'FC - BT Inversionista'!$D$35/12</f>
        <v>78905723.333333343</v>
      </c>
      <c r="Q9" s="102">
        <f>'FC - BT Inversionista'!$D$35/12</f>
        <v>78905723.333333343</v>
      </c>
      <c r="R9" s="102">
        <f>'FC - BT Inversionista'!$D$35/12</f>
        <v>78905723.333333343</v>
      </c>
      <c r="S9" s="102">
        <f>'FC - BT Inversionista'!$E$35/12</f>
        <v>74953784.114517257</v>
      </c>
      <c r="T9" s="102">
        <f>'FC - BT Inversionista'!$E$35/12</f>
        <v>74953784.114517257</v>
      </c>
      <c r="U9" s="102">
        <f>'FC - BT Inversionista'!$E$35/12</f>
        <v>74953784.114517257</v>
      </c>
      <c r="V9" s="102">
        <f>'FC - BT Inversionista'!$E$35/12</f>
        <v>74953784.114517257</v>
      </c>
      <c r="W9" s="102">
        <f>'FC - BT Inversionista'!$E$35/12</f>
        <v>74953784.114517257</v>
      </c>
      <c r="X9" s="102">
        <f>'FC - BT Inversionista'!$E$35/12</f>
        <v>74953784.114517257</v>
      </c>
      <c r="Y9" s="102">
        <f>'FC - BT Inversionista'!$E$35/12</f>
        <v>74953784.114517257</v>
      </c>
      <c r="Z9" s="102">
        <f>'FC - BT Inversionista'!$E$35/12</f>
        <v>74953784.114517257</v>
      </c>
      <c r="AA9" s="102">
        <f>'FC - BT Inversionista'!$E$35/12</f>
        <v>74953784.114517257</v>
      </c>
      <c r="AB9" s="102">
        <f>'FC - BT Inversionista'!$E$35/12</f>
        <v>74953784.114517257</v>
      </c>
      <c r="AC9" s="102">
        <f>'FC - BT Inversionista'!$E$35/12</f>
        <v>74953784.114517257</v>
      </c>
      <c r="AD9" s="102">
        <f>'FC - BT Inversionista'!$E$35/12</f>
        <v>74953784.114517257</v>
      </c>
      <c r="AE9" s="102">
        <f>'FC - BT Inversionista'!$F$35/12</f>
        <v>76169264.837400004</v>
      </c>
      <c r="AF9" s="102">
        <f>'FC - BT Inversionista'!$F$35/12</f>
        <v>76169264.837400004</v>
      </c>
      <c r="AG9" s="102">
        <f>'FC - BT Inversionista'!$F$35/12</f>
        <v>76169264.837400004</v>
      </c>
      <c r="AH9" s="102">
        <f>'FC - BT Inversionista'!$F$35/12</f>
        <v>76169264.837400004</v>
      </c>
      <c r="AI9" s="102">
        <f>'FC - BT Inversionista'!$F$35/12</f>
        <v>76169264.837400004</v>
      </c>
      <c r="AJ9" s="102">
        <f>'FC - BT Inversionista'!$F$35/12</f>
        <v>76169264.837400004</v>
      </c>
      <c r="AK9" s="102">
        <f>'FC - BT Inversionista'!$F$35/12</f>
        <v>76169264.837400004</v>
      </c>
      <c r="AL9" s="102">
        <f>'FC - BT Inversionista'!$F$35/12</f>
        <v>76169264.837400004</v>
      </c>
      <c r="AM9" s="102">
        <f>'FC - BT Inversionista'!$F$35/12</f>
        <v>76169264.837400004</v>
      </c>
      <c r="AN9" s="102">
        <f>'FC - BT Inversionista'!$F$35/12</f>
        <v>76169264.837400004</v>
      </c>
      <c r="AO9" s="102">
        <f>'FC - BT Inversionista'!$F$35/12</f>
        <v>76169264.837400004</v>
      </c>
      <c r="AP9" s="102">
        <f>'FC - BT Inversionista'!$F$35/12</f>
        <v>76169264.837400004</v>
      </c>
      <c r="AQ9" s="102">
        <f>'FC - BT Inversionista'!$G$35/12</f>
        <v>77796682.432766393</v>
      </c>
      <c r="AR9" s="102">
        <f>'FC - BT Inversionista'!$G$35/12</f>
        <v>77796682.432766393</v>
      </c>
      <c r="AS9" s="102">
        <f>'FC - BT Inversionista'!$G$35/12</f>
        <v>77796682.432766393</v>
      </c>
      <c r="AT9" s="102">
        <f>'FC - BT Inversionista'!$G$35/12</f>
        <v>77796682.432766393</v>
      </c>
      <c r="AU9" s="102">
        <f>'FC - BT Inversionista'!$G$35/12</f>
        <v>77796682.432766393</v>
      </c>
      <c r="AV9" s="102">
        <f>'FC - BT Inversionista'!$G$35/12</f>
        <v>77796682.432766393</v>
      </c>
      <c r="AW9" s="102">
        <f>'FC - BT Inversionista'!$G$35/12</f>
        <v>77796682.432766393</v>
      </c>
      <c r="AX9" s="102">
        <f>'FC - BT Inversionista'!$G$35/12</f>
        <v>77796682.432766393</v>
      </c>
      <c r="AY9" s="102">
        <f>'FC - BT Inversionista'!$G$35/12</f>
        <v>77796682.432766393</v>
      </c>
      <c r="AZ9" s="102">
        <f>'FC - BT Inversionista'!$G$35/12</f>
        <v>77796682.432766393</v>
      </c>
      <c r="BA9" s="102">
        <f>'FC - BT Inversionista'!$G$35/12</f>
        <v>77796682.432766393</v>
      </c>
      <c r="BB9" s="102">
        <f>'FC - BT Inversionista'!$G$35/12</f>
        <v>77796682.432766393</v>
      </c>
      <c r="BC9" s="102">
        <f>'FC - BT Inversionista'!$H$35/12</f>
        <v>83718883.613490537</v>
      </c>
      <c r="BD9" s="102">
        <f>'FC - BT Inversionista'!$H$35/12</f>
        <v>83718883.613490537</v>
      </c>
      <c r="BE9" s="102">
        <f>'FC - BT Inversionista'!$H$35/12</f>
        <v>83718883.613490537</v>
      </c>
      <c r="BF9" s="102">
        <f>'FC - BT Inversionista'!$H$35/12</f>
        <v>83718883.613490537</v>
      </c>
      <c r="BG9" s="102">
        <f>'FC - BT Inversionista'!$H$35/12</f>
        <v>83718883.613490537</v>
      </c>
      <c r="BH9" s="102">
        <f>'FC - BT Inversionista'!$H$35/12</f>
        <v>83718883.613490537</v>
      </c>
      <c r="BI9" s="102">
        <f>'FC - BT Inversionista'!$H$35/12</f>
        <v>83718883.613490537</v>
      </c>
      <c r="BJ9" s="102">
        <f>'FC - BT Inversionista'!$H$35/12</f>
        <v>83718883.613490537</v>
      </c>
      <c r="BK9" s="102">
        <f>'FC - BT Inversionista'!$H$35/12</f>
        <v>83718883.613490537</v>
      </c>
      <c r="BL9" s="102">
        <f>'FC - BT Inversionista'!$H$35/12</f>
        <v>83718883.613490537</v>
      </c>
      <c r="BM9" s="102">
        <f>'FC - BT Inversionista'!$H$35/12</f>
        <v>83718883.613490537</v>
      </c>
      <c r="BN9" s="102">
        <f>'FC - BT Inversionista'!$H$35/12</f>
        <v>83718883.613490537</v>
      </c>
      <c r="BO9" s="102">
        <f>'FC - BT Inversionista'!$I$35/12</f>
        <v>91766925.380906597</v>
      </c>
      <c r="BP9" s="102">
        <f>'FC - BT Inversionista'!$I$35/12</f>
        <v>91766925.380906597</v>
      </c>
      <c r="BQ9" s="102">
        <f>'FC - BT Inversionista'!$I$35/12</f>
        <v>91766925.380906597</v>
      </c>
      <c r="BR9" s="102">
        <f>'FC - BT Inversionista'!$I$35/12</f>
        <v>91766925.380906597</v>
      </c>
      <c r="BS9" s="102">
        <f>'FC - BT Inversionista'!$I$35/12</f>
        <v>91766925.380906597</v>
      </c>
      <c r="BT9" s="102">
        <f>'FC - BT Inversionista'!$I$35/12</f>
        <v>91766925.380906597</v>
      </c>
      <c r="BU9" s="102">
        <f>'FC - BT Inversionista'!$I$35/12</f>
        <v>91766925.380906597</v>
      </c>
      <c r="BV9" s="102">
        <f>'FC - BT Inversionista'!$I$35/12</f>
        <v>91766925.380906597</v>
      </c>
      <c r="BW9" s="102">
        <f>'FC - BT Inversionista'!$I$35/12</f>
        <v>91766925.380906597</v>
      </c>
      <c r="BX9" s="102">
        <f>'FC - BT Inversionista'!$I$35/12</f>
        <v>91766925.380906597</v>
      </c>
      <c r="BY9" s="102">
        <f>'FC - BT Inversionista'!$I$35/12</f>
        <v>91766925.380906597</v>
      </c>
      <c r="BZ9" s="102">
        <f>'FC - BT Inversionista'!$I$35/12</f>
        <v>91766925.380906597</v>
      </c>
      <c r="CA9" s="102"/>
      <c r="CB9" s="102"/>
      <c r="CC9" s="102"/>
      <c r="CD9" s="102"/>
      <c r="CE9" s="102"/>
      <c r="CF9" s="102"/>
      <c r="CG9" s="102"/>
      <c r="CH9" s="102"/>
      <c r="CI9" s="102"/>
      <c r="CJ9" s="102"/>
      <c r="CK9" s="102"/>
      <c r="CL9" s="102"/>
      <c r="CM9" s="102"/>
      <c r="CN9" s="102"/>
      <c r="CO9" s="102"/>
      <c r="CP9" s="102"/>
      <c r="CQ9" s="102"/>
      <c r="CR9" s="102"/>
      <c r="CS9" s="102"/>
      <c r="CT9" s="102"/>
      <c r="CU9" s="102"/>
      <c r="CV9" s="102"/>
      <c r="CW9" s="102"/>
      <c r="CX9" s="102"/>
      <c r="CY9" s="102"/>
      <c r="CZ9" s="102"/>
      <c r="DA9" s="102"/>
      <c r="DB9" s="102"/>
      <c r="DC9" s="102"/>
      <c r="DD9" s="102"/>
      <c r="DE9" s="102"/>
      <c r="DF9" s="102"/>
      <c r="DG9" s="102"/>
      <c r="DH9" s="102"/>
      <c r="DI9" s="102"/>
      <c r="DJ9" s="102"/>
      <c r="DK9" s="102"/>
      <c r="DL9" s="102"/>
      <c r="DM9" s="102"/>
      <c r="DN9" s="102"/>
      <c r="DO9" s="102"/>
      <c r="DP9" s="102"/>
      <c r="DQ9" s="102"/>
      <c r="DR9" s="102"/>
      <c r="DS9" s="102"/>
      <c r="DT9" s="102"/>
      <c r="DU9" s="102"/>
      <c r="DV9" s="102"/>
      <c r="DW9" s="102"/>
      <c r="DX9" s="102"/>
      <c r="DY9" s="102"/>
    </row>
    <row r="10" spans="2:129" s="103" customFormat="1" ht="16" customHeight="1" x14ac:dyDescent="0.45">
      <c r="B10" s="110" t="s">
        <v>97</v>
      </c>
      <c r="C10" s="105"/>
      <c r="D10" s="105"/>
      <c r="E10" s="105"/>
      <c r="F10" s="105"/>
      <c r="G10" s="105"/>
      <c r="H10" s="105"/>
      <c r="I10" s="105"/>
      <c r="J10" s="105"/>
      <c r="K10" s="105">
        <f>'FC - BT Inversionista'!$D$36/12</f>
        <v>-5416666.666666667</v>
      </c>
      <c r="L10" s="105">
        <f>'FC - BT Inversionista'!$D$36/12</f>
        <v>-5416666.666666667</v>
      </c>
      <c r="M10" s="105">
        <f>'FC - BT Inversionista'!$D$36/12</f>
        <v>-5416666.666666667</v>
      </c>
      <c r="N10" s="105">
        <f>'FC - BT Inversionista'!$D$36/12</f>
        <v>-5416666.666666667</v>
      </c>
      <c r="O10" s="105">
        <f>'FC - BT Inversionista'!$D$36/12</f>
        <v>-5416666.666666667</v>
      </c>
      <c r="P10" s="105">
        <f>'FC - BT Inversionista'!$D$36/12</f>
        <v>-5416666.666666667</v>
      </c>
      <c r="Q10" s="105">
        <f>'FC - BT Inversionista'!$D$36/12</f>
        <v>-5416666.666666667</v>
      </c>
      <c r="R10" s="105">
        <f>'FC - BT Inversionista'!$D$36/12</f>
        <v>-5416666.666666667</v>
      </c>
      <c r="S10" s="105">
        <f>'FC - BT Inversionista'!$E$36/12</f>
        <v>-5795833.333333333</v>
      </c>
      <c r="T10" s="105">
        <f>'FC - BT Inversionista'!$E$36/12</f>
        <v>-5795833.333333333</v>
      </c>
      <c r="U10" s="105">
        <f>'FC - BT Inversionista'!$E$36/12</f>
        <v>-5795833.333333333</v>
      </c>
      <c r="V10" s="105">
        <f>'FC - BT Inversionista'!$E$36/12</f>
        <v>-5795833.333333333</v>
      </c>
      <c r="W10" s="105">
        <f>'FC - BT Inversionista'!$E$36/12</f>
        <v>-5795833.333333333</v>
      </c>
      <c r="X10" s="105">
        <f>'FC - BT Inversionista'!$E$36/12</f>
        <v>-5795833.333333333</v>
      </c>
      <c r="Y10" s="105">
        <f>'FC - BT Inversionista'!$E$36/12</f>
        <v>-5795833.333333333</v>
      </c>
      <c r="Z10" s="105">
        <f>'FC - BT Inversionista'!$E$36/12</f>
        <v>-5795833.333333333</v>
      </c>
      <c r="AA10" s="105">
        <f>'FC - BT Inversionista'!$E$36/12</f>
        <v>-5795833.333333333</v>
      </c>
      <c r="AB10" s="105">
        <f>'FC - BT Inversionista'!$E$36/12</f>
        <v>-5795833.333333333</v>
      </c>
      <c r="AC10" s="105">
        <f>'FC - BT Inversionista'!$E$36/12</f>
        <v>-5795833.333333333</v>
      </c>
      <c r="AD10" s="105">
        <f>'FC - BT Inversionista'!$E$36/12</f>
        <v>-5795833.333333333</v>
      </c>
      <c r="AE10" s="105">
        <f>'FC - BT Inversionista'!$F$36/12</f>
        <v>-6085625</v>
      </c>
      <c r="AF10" s="105">
        <f>'FC - BT Inversionista'!$F$36/12</f>
        <v>-6085625</v>
      </c>
      <c r="AG10" s="105">
        <f>'FC - BT Inversionista'!$F$36/12</f>
        <v>-6085625</v>
      </c>
      <c r="AH10" s="105">
        <f>'FC - BT Inversionista'!$F$36/12</f>
        <v>-6085625</v>
      </c>
      <c r="AI10" s="105">
        <f>'FC - BT Inversionista'!$F$36/12</f>
        <v>-6085625</v>
      </c>
      <c r="AJ10" s="105">
        <f>'FC - BT Inversionista'!$F$36/12</f>
        <v>-6085625</v>
      </c>
      <c r="AK10" s="105">
        <f>'FC - BT Inversionista'!$F$36/12</f>
        <v>-6085625</v>
      </c>
      <c r="AL10" s="105">
        <f>'FC - BT Inversionista'!$F$36/12</f>
        <v>-6085625</v>
      </c>
      <c r="AM10" s="105">
        <f>'FC - BT Inversionista'!$F$36/12</f>
        <v>-6085625</v>
      </c>
      <c r="AN10" s="105">
        <f>'FC - BT Inversionista'!$F$36/12</f>
        <v>-6085625</v>
      </c>
      <c r="AO10" s="105">
        <f>'FC - BT Inversionista'!$F$36/12</f>
        <v>-6085625</v>
      </c>
      <c r="AP10" s="105">
        <f>'FC - BT Inversionista'!$F$36/12</f>
        <v>-6085625</v>
      </c>
      <c r="AQ10" s="105">
        <f>'FC - BT Inversionista'!$G$36/12</f>
        <v>-6389906.25</v>
      </c>
      <c r="AR10" s="105">
        <f>'FC - BT Inversionista'!$G$36/12</f>
        <v>-6389906.25</v>
      </c>
      <c r="AS10" s="105">
        <f>'FC - BT Inversionista'!$G$36/12</f>
        <v>-6389906.25</v>
      </c>
      <c r="AT10" s="105">
        <f>'FC - BT Inversionista'!$G$36/12</f>
        <v>-6389906.25</v>
      </c>
      <c r="AU10" s="105">
        <f>'FC - BT Inversionista'!$G$36/12</f>
        <v>-6389906.25</v>
      </c>
      <c r="AV10" s="105">
        <f>'FC - BT Inversionista'!$G$36/12</f>
        <v>-6389906.25</v>
      </c>
      <c r="AW10" s="105">
        <f>'FC - BT Inversionista'!$G$36/12</f>
        <v>-6389906.25</v>
      </c>
      <c r="AX10" s="105">
        <f>'FC - BT Inversionista'!$G$36/12</f>
        <v>-6389906.25</v>
      </c>
      <c r="AY10" s="105">
        <f>'FC - BT Inversionista'!$G$36/12</f>
        <v>-6389906.25</v>
      </c>
      <c r="AZ10" s="105">
        <f>'FC - BT Inversionista'!$G$36/12</f>
        <v>-6389906.25</v>
      </c>
      <c r="BA10" s="105">
        <f>'FC - BT Inversionista'!$G$36/12</f>
        <v>-6389906.25</v>
      </c>
      <c r="BB10" s="105">
        <f>'FC - BT Inversionista'!$G$36/12</f>
        <v>-6389906.25</v>
      </c>
      <c r="BC10" s="105">
        <f>'FC - BT Inversionista'!$H$36/12</f>
        <v>-6709401.5625</v>
      </c>
      <c r="BD10" s="105">
        <f>'FC - BT Inversionista'!$H$36/12</f>
        <v>-6709401.5625</v>
      </c>
      <c r="BE10" s="105">
        <f>'FC - BT Inversionista'!$H$36/12</f>
        <v>-6709401.5625</v>
      </c>
      <c r="BF10" s="105">
        <f>'FC - BT Inversionista'!$H$36/12</f>
        <v>-6709401.5625</v>
      </c>
      <c r="BG10" s="105">
        <f>'FC - BT Inversionista'!$H$36/12</f>
        <v>-6709401.5625</v>
      </c>
      <c r="BH10" s="105">
        <f>'FC - BT Inversionista'!$H$36/12</f>
        <v>-6709401.5625</v>
      </c>
      <c r="BI10" s="105">
        <f>'FC - BT Inversionista'!$H$36/12</f>
        <v>-6709401.5625</v>
      </c>
      <c r="BJ10" s="105">
        <f>'FC - BT Inversionista'!$H$36/12</f>
        <v>-6709401.5625</v>
      </c>
      <c r="BK10" s="105">
        <f>'FC - BT Inversionista'!$H$36/12</f>
        <v>-6709401.5625</v>
      </c>
      <c r="BL10" s="105">
        <f>'FC - BT Inversionista'!$H$36/12</f>
        <v>-6709401.5625</v>
      </c>
      <c r="BM10" s="105">
        <f>'FC - BT Inversionista'!$H$36/12</f>
        <v>-6709401.5625</v>
      </c>
      <c r="BN10" s="105">
        <f>'FC - BT Inversionista'!$H$36/12</f>
        <v>-6709401.5625</v>
      </c>
      <c r="BO10" s="105">
        <f>'FC - BT Inversionista'!$I$36/12</f>
        <v>-7044871.640625</v>
      </c>
      <c r="BP10" s="105">
        <f>'FC - BT Inversionista'!$I$36/12</f>
        <v>-7044871.640625</v>
      </c>
      <c r="BQ10" s="105">
        <f>'FC - BT Inversionista'!$I$36/12</f>
        <v>-7044871.640625</v>
      </c>
      <c r="BR10" s="105">
        <f>'FC - BT Inversionista'!$I$36/12</f>
        <v>-7044871.640625</v>
      </c>
      <c r="BS10" s="105">
        <f>'FC - BT Inversionista'!$I$36/12</f>
        <v>-7044871.640625</v>
      </c>
      <c r="BT10" s="105">
        <f>'FC - BT Inversionista'!$I$36/12</f>
        <v>-7044871.640625</v>
      </c>
      <c r="BU10" s="105">
        <f>'FC - BT Inversionista'!$I$36/12</f>
        <v>-7044871.640625</v>
      </c>
      <c r="BV10" s="105">
        <f>'FC - BT Inversionista'!$I$36/12</f>
        <v>-7044871.640625</v>
      </c>
      <c r="BW10" s="105">
        <f>'FC - BT Inversionista'!$I$36/12</f>
        <v>-7044871.640625</v>
      </c>
      <c r="BX10" s="105">
        <f>'FC - BT Inversionista'!$I$36/12</f>
        <v>-7044871.640625</v>
      </c>
      <c r="BY10" s="105">
        <f>'FC - BT Inversionista'!$I$36/12</f>
        <v>-7044871.640625</v>
      </c>
      <c r="BZ10" s="105">
        <f>'FC - BT Inversionista'!$I$36/12</f>
        <v>-7044871.640625</v>
      </c>
      <c r="CA10" s="105"/>
      <c r="CB10" s="105"/>
      <c r="CC10" s="105"/>
      <c r="CD10" s="105"/>
      <c r="CE10" s="105"/>
      <c r="CF10" s="105"/>
      <c r="CG10" s="105"/>
      <c r="CH10" s="105"/>
      <c r="CI10" s="105"/>
      <c r="CJ10" s="105"/>
      <c r="CK10" s="105"/>
      <c r="CL10" s="105"/>
      <c r="CM10" s="105"/>
      <c r="CN10" s="105"/>
      <c r="CO10" s="105"/>
      <c r="CP10" s="105"/>
      <c r="CQ10" s="105"/>
      <c r="CR10" s="105"/>
      <c r="CS10" s="105"/>
      <c r="CT10" s="105"/>
      <c r="CU10" s="105"/>
      <c r="CV10" s="105"/>
      <c r="CW10" s="105"/>
      <c r="CX10" s="105"/>
      <c r="CY10" s="105"/>
      <c r="CZ10" s="105"/>
      <c r="DA10" s="105"/>
      <c r="DB10" s="105"/>
      <c r="DC10" s="105"/>
      <c r="DD10" s="105"/>
      <c r="DE10" s="105"/>
      <c r="DF10" s="105"/>
      <c r="DG10" s="105"/>
      <c r="DH10" s="105"/>
      <c r="DI10" s="105"/>
      <c r="DJ10" s="105"/>
      <c r="DK10" s="105"/>
      <c r="DL10" s="105"/>
      <c r="DM10" s="105"/>
      <c r="DN10" s="105"/>
      <c r="DO10" s="105"/>
      <c r="DP10" s="105"/>
      <c r="DQ10" s="105"/>
      <c r="DR10" s="105"/>
      <c r="DS10" s="105"/>
      <c r="DT10" s="105"/>
      <c r="DU10" s="105"/>
      <c r="DV10" s="105"/>
      <c r="DW10" s="105"/>
      <c r="DX10" s="105"/>
      <c r="DY10" s="105"/>
    </row>
    <row r="11" spans="2:129" s="103" customFormat="1" ht="16" customHeight="1" x14ac:dyDescent="0.45">
      <c r="B11" s="110" t="s">
        <v>98</v>
      </c>
      <c r="C11" s="105"/>
      <c r="D11" s="105"/>
      <c r="E11" s="105"/>
      <c r="F11" s="105"/>
      <c r="G11" s="105"/>
      <c r="H11" s="105"/>
      <c r="I11" s="105"/>
      <c r="J11" s="105"/>
      <c r="K11" s="105">
        <f>'FC - BT Inversionista'!$D$37/12</f>
        <v>-1310166.6666666667</v>
      </c>
      <c r="L11" s="105">
        <f>'FC - BT Inversionista'!$D$37/12</f>
        <v>-1310166.6666666667</v>
      </c>
      <c r="M11" s="105">
        <f>'FC - BT Inversionista'!$D$37/12</f>
        <v>-1310166.6666666667</v>
      </c>
      <c r="N11" s="105">
        <f>'FC - BT Inversionista'!$D$37/12</f>
        <v>-1310166.6666666667</v>
      </c>
      <c r="O11" s="105">
        <f>'FC - BT Inversionista'!$D$37/12</f>
        <v>-1310166.6666666667</v>
      </c>
      <c r="P11" s="105">
        <f>'FC - BT Inversionista'!$D$37/12</f>
        <v>-1310166.6666666667</v>
      </c>
      <c r="Q11" s="105">
        <f>'FC - BT Inversionista'!$D$37/12</f>
        <v>-1310166.6666666667</v>
      </c>
      <c r="R11" s="105">
        <f>'FC - BT Inversionista'!$D$37/12</f>
        <v>-1310166.6666666667</v>
      </c>
      <c r="S11" s="105">
        <f>'FC - BT Inversionista'!$E$37/12</f>
        <v>-1304474.2183908045</v>
      </c>
      <c r="T11" s="105">
        <f>'FC - BT Inversionista'!$E$37/12</f>
        <v>-1304474.2183908045</v>
      </c>
      <c r="U11" s="105">
        <f>'FC - BT Inversionista'!$E$37/12</f>
        <v>-1304474.2183908045</v>
      </c>
      <c r="V11" s="105">
        <f>'FC - BT Inversionista'!$E$37/12</f>
        <v>-1304474.2183908045</v>
      </c>
      <c r="W11" s="105">
        <f>'FC - BT Inversionista'!$E$37/12</f>
        <v>-1304474.2183908045</v>
      </c>
      <c r="X11" s="105">
        <f>'FC - BT Inversionista'!$E$37/12</f>
        <v>-1304474.2183908045</v>
      </c>
      <c r="Y11" s="105">
        <f>'FC - BT Inversionista'!$E$37/12</f>
        <v>-1304474.2183908045</v>
      </c>
      <c r="Z11" s="105">
        <f>'FC - BT Inversionista'!$E$37/12</f>
        <v>-1304474.2183908045</v>
      </c>
      <c r="AA11" s="105">
        <f>'FC - BT Inversionista'!$E$37/12</f>
        <v>-1304474.2183908045</v>
      </c>
      <c r="AB11" s="105">
        <f>'FC - BT Inversionista'!$E$37/12</f>
        <v>-1304474.2183908045</v>
      </c>
      <c r="AC11" s="105">
        <f>'FC - BT Inversionista'!$E$37/12</f>
        <v>-1304474.2183908045</v>
      </c>
      <c r="AD11" s="105">
        <f>'FC - BT Inversionista'!$E$37/12</f>
        <v>-1304474.2183908045</v>
      </c>
      <c r="AE11" s="105">
        <f>'FC - BT Inversionista'!$F$37/12</f>
        <v>-1532140.3846603453</v>
      </c>
      <c r="AF11" s="105">
        <f>'FC - BT Inversionista'!$F$37/12</f>
        <v>-1532140.3846603453</v>
      </c>
      <c r="AG11" s="105">
        <f>'FC - BT Inversionista'!$F$37/12</f>
        <v>-1532140.3846603453</v>
      </c>
      <c r="AH11" s="105">
        <f>'FC - BT Inversionista'!$F$37/12</f>
        <v>-1532140.3846603453</v>
      </c>
      <c r="AI11" s="105">
        <f>'FC - BT Inversionista'!$F$37/12</f>
        <v>-1532140.3846603453</v>
      </c>
      <c r="AJ11" s="105">
        <f>'FC - BT Inversionista'!$F$37/12</f>
        <v>-1532140.3846603453</v>
      </c>
      <c r="AK11" s="105">
        <f>'FC - BT Inversionista'!$F$37/12</f>
        <v>-1532140.3846603453</v>
      </c>
      <c r="AL11" s="105">
        <f>'FC - BT Inversionista'!$F$37/12</f>
        <v>-1532140.3846603453</v>
      </c>
      <c r="AM11" s="105">
        <f>'FC - BT Inversionista'!$F$37/12</f>
        <v>-1532140.3846603453</v>
      </c>
      <c r="AN11" s="105">
        <f>'FC - BT Inversionista'!$F$37/12</f>
        <v>-1532140.3846603453</v>
      </c>
      <c r="AO11" s="105">
        <f>'FC - BT Inversionista'!$F$37/12</f>
        <v>-1532140.3846603453</v>
      </c>
      <c r="AP11" s="105">
        <f>'FC - BT Inversionista'!$F$37/12</f>
        <v>-1532140.3846603453</v>
      </c>
      <c r="AQ11" s="105">
        <f>'FC - BT Inversionista'!$G$37/12</f>
        <v>-1601696.4030275436</v>
      </c>
      <c r="AR11" s="105">
        <f>'FC - BT Inversionista'!$G$37/12</f>
        <v>-1601696.4030275436</v>
      </c>
      <c r="AS11" s="105">
        <f>'FC - BT Inversionista'!$G$37/12</f>
        <v>-1601696.4030275436</v>
      </c>
      <c r="AT11" s="105">
        <f>'FC - BT Inversionista'!$G$37/12</f>
        <v>-1601696.4030275436</v>
      </c>
      <c r="AU11" s="105">
        <f>'FC - BT Inversionista'!$G$37/12</f>
        <v>-1601696.4030275436</v>
      </c>
      <c r="AV11" s="105">
        <f>'FC - BT Inversionista'!$G$37/12</f>
        <v>-1601696.4030275436</v>
      </c>
      <c r="AW11" s="105">
        <f>'FC - BT Inversionista'!$G$37/12</f>
        <v>-1601696.4030275436</v>
      </c>
      <c r="AX11" s="105">
        <f>'FC - BT Inversionista'!$G$37/12</f>
        <v>-1601696.4030275436</v>
      </c>
      <c r="AY11" s="105">
        <f>'FC - BT Inversionista'!$G$37/12</f>
        <v>-1601696.4030275436</v>
      </c>
      <c r="AZ11" s="105">
        <f>'FC - BT Inversionista'!$G$37/12</f>
        <v>-1601696.4030275436</v>
      </c>
      <c r="BA11" s="105">
        <f>'FC - BT Inversionista'!$G$37/12</f>
        <v>-1601696.4030275436</v>
      </c>
      <c r="BB11" s="105">
        <f>'FC - BT Inversionista'!$G$37/12</f>
        <v>-1601696.4030275436</v>
      </c>
      <c r="BC11" s="105">
        <f>'FC - BT Inversionista'!$H$37/12</f>
        <v>-1674377.6722698109</v>
      </c>
      <c r="BD11" s="105">
        <f>'FC - BT Inversionista'!$H$37/12</f>
        <v>-1674377.6722698109</v>
      </c>
      <c r="BE11" s="105">
        <f>'FC - BT Inversionista'!$H$37/12</f>
        <v>-1674377.6722698109</v>
      </c>
      <c r="BF11" s="105">
        <f>'FC - BT Inversionista'!$H$37/12</f>
        <v>-1674377.6722698109</v>
      </c>
      <c r="BG11" s="105">
        <f>'FC - BT Inversionista'!$H$37/12</f>
        <v>-1674377.6722698109</v>
      </c>
      <c r="BH11" s="105">
        <f>'FC - BT Inversionista'!$H$37/12</f>
        <v>-1674377.6722698109</v>
      </c>
      <c r="BI11" s="105">
        <f>'FC - BT Inversionista'!$H$37/12</f>
        <v>-1674377.6722698109</v>
      </c>
      <c r="BJ11" s="105">
        <f>'FC - BT Inversionista'!$H$37/12</f>
        <v>-1674377.6722698109</v>
      </c>
      <c r="BK11" s="105">
        <f>'FC - BT Inversionista'!$H$37/12</f>
        <v>-1674377.6722698109</v>
      </c>
      <c r="BL11" s="105">
        <f>'FC - BT Inversionista'!$H$37/12</f>
        <v>-1674377.6722698109</v>
      </c>
      <c r="BM11" s="105">
        <f>'FC - BT Inversionista'!$H$37/12</f>
        <v>-1674377.6722698109</v>
      </c>
      <c r="BN11" s="105">
        <f>'FC - BT Inversionista'!$H$37/12</f>
        <v>-1674377.6722698109</v>
      </c>
      <c r="BO11" s="105">
        <f>'FC - BT Inversionista'!$I$37/12</f>
        <v>-1750322.827428736</v>
      </c>
      <c r="BP11" s="105">
        <f>'FC - BT Inversionista'!$I$37/12</f>
        <v>-1750322.827428736</v>
      </c>
      <c r="BQ11" s="105">
        <f>'FC - BT Inversionista'!$I$37/12</f>
        <v>-1750322.827428736</v>
      </c>
      <c r="BR11" s="105">
        <f>'FC - BT Inversionista'!$I$37/12</f>
        <v>-1750322.827428736</v>
      </c>
      <c r="BS11" s="105">
        <f>'FC - BT Inversionista'!$I$37/12</f>
        <v>-1750322.827428736</v>
      </c>
      <c r="BT11" s="105">
        <f>'FC - BT Inversionista'!$I$37/12</f>
        <v>-1750322.827428736</v>
      </c>
      <c r="BU11" s="105">
        <f>'FC - BT Inversionista'!$I$37/12</f>
        <v>-1750322.827428736</v>
      </c>
      <c r="BV11" s="105">
        <f>'FC - BT Inversionista'!$I$37/12</f>
        <v>-1750322.827428736</v>
      </c>
      <c r="BW11" s="105">
        <f>'FC - BT Inversionista'!$I$37/12</f>
        <v>-1750322.827428736</v>
      </c>
      <c r="BX11" s="105">
        <f>'FC - BT Inversionista'!$I$37/12</f>
        <v>-1750322.827428736</v>
      </c>
      <c r="BY11" s="105">
        <f>'FC - BT Inversionista'!$I$37/12</f>
        <v>-1750322.827428736</v>
      </c>
      <c r="BZ11" s="105">
        <f>'FC - BT Inversionista'!$I$37/12</f>
        <v>-1750322.827428736</v>
      </c>
      <c r="CA11" s="105"/>
      <c r="CB11" s="105"/>
      <c r="CC11" s="105"/>
      <c r="CD11" s="105"/>
      <c r="CE11" s="105"/>
      <c r="CF11" s="105"/>
      <c r="CG11" s="105"/>
      <c r="CH11" s="105"/>
      <c r="CI11" s="105"/>
      <c r="CJ11" s="105"/>
      <c r="CK11" s="105"/>
      <c r="CL11" s="105"/>
      <c r="CM11" s="105"/>
      <c r="CN11" s="105"/>
      <c r="CO11" s="105"/>
      <c r="CP11" s="105"/>
      <c r="CQ11" s="105"/>
      <c r="CR11" s="105"/>
      <c r="CS11" s="105"/>
      <c r="CT11" s="105"/>
      <c r="CU11" s="105"/>
      <c r="CV11" s="105"/>
      <c r="CW11" s="105"/>
      <c r="CX11" s="105"/>
      <c r="CY11" s="105"/>
      <c r="CZ11" s="105"/>
      <c r="DA11" s="105"/>
      <c r="DB11" s="105"/>
      <c r="DC11" s="105"/>
      <c r="DD11" s="105"/>
      <c r="DE11" s="105"/>
      <c r="DF11" s="105"/>
      <c r="DG11" s="105"/>
      <c r="DH11" s="105"/>
      <c r="DI11" s="105"/>
      <c r="DJ11" s="105"/>
      <c r="DK11" s="105"/>
      <c r="DL11" s="105"/>
      <c r="DM11" s="105"/>
      <c r="DN11" s="105"/>
      <c r="DO11" s="105"/>
      <c r="DP11" s="105"/>
      <c r="DQ11" s="105"/>
      <c r="DR11" s="105"/>
      <c r="DS11" s="105"/>
      <c r="DT11" s="105"/>
      <c r="DU11" s="105"/>
      <c r="DV11" s="105"/>
      <c r="DW11" s="105"/>
      <c r="DX11" s="105"/>
      <c r="DY11" s="105"/>
    </row>
    <row r="12" spans="2:129" s="100" customFormat="1" ht="16" customHeight="1" x14ac:dyDescent="0.45">
      <c r="B12" s="101" t="s">
        <v>99</v>
      </c>
      <c r="C12" s="111"/>
      <c r="D12" s="111"/>
      <c r="E12" s="111"/>
      <c r="F12" s="111"/>
      <c r="G12" s="111"/>
      <c r="H12" s="111"/>
      <c r="I12" s="111"/>
      <c r="J12" s="111"/>
      <c r="K12" s="111">
        <f>SUM(K9:K11)</f>
        <v>72178890</v>
      </c>
      <c r="L12" s="111">
        <f t="shared" ref="L12:S12" si="0">SUM(L9:L11)</f>
        <v>72178890</v>
      </c>
      <c r="M12" s="111">
        <f t="shared" si="0"/>
        <v>72178890</v>
      </c>
      <c r="N12" s="111">
        <f t="shared" si="0"/>
        <v>72178890</v>
      </c>
      <c r="O12" s="111">
        <f t="shared" si="0"/>
        <v>72178890</v>
      </c>
      <c r="P12" s="111">
        <f t="shared" si="0"/>
        <v>72178890</v>
      </c>
      <c r="Q12" s="111">
        <f t="shared" si="0"/>
        <v>72178890</v>
      </c>
      <c r="R12" s="111">
        <f t="shared" si="0"/>
        <v>72178890</v>
      </c>
      <c r="S12" s="111">
        <f t="shared" si="0"/>
        <v>67853476.562793121</v>
      </c>
      <c r="T12" s="111">
        <f t="shared" ref="T12" si="1">SUM(T9:T11)</f>
        <v>67853476.562793121</v>
      </c>
      <c r="U12" s="111">
        <f t="shared" ref="U12" si="2">SUM(U9:U11)</f>
        <v>67853476.562793121</v>
      </c>
      <c r="V12" s="111">
        <f t="shared" ref="V12" si="3">SUM(V9:V11)</f>
        <v>67853476.562793121</v>
      </c>
      <c r="W12" s="111">
        <f t="shared" ref="W12" si="4">SUM(W9:W11)</f>
        <v>67853476.562793121</v>
      </c>
      <c r="X12" s="111">
        <f t="shared" ref="X12" si="5">SUM(X9:X11)</f>
        <v>67853476.562793121</v>
      </c>
      <c r="Y12" s="111">
        <f t="shared" ref="Y12" si="6">SUM(Y9:Y11)</f>
        <v>67853476.562793121</v>
      </c>
      <c r="Z12" s="111">
        <f t="shared" ref="Z12" si="7">SUM(Z9:Z11)</f>
        <v>67853476.562793121</v>
      </c>
      <c r="AA12" s="111">
        <f t="shared" ref="AA12" si="8">SUM(AA9:AA11)</f>
        <v>67853476.562793121</v>
      </c>
      <c r="AB12" s="111">
        <f t="shared" ref="AB12" si="9">SUM(AB9:AB11)</f>
        <v>67853476.562793121</v>
      </c>
      <c r="AC12" s="111">
        <f t="shared" ref="AC12" si="10">SUM(AC9:AC11)</f>
        <v>67853476.562793121</v>
      </c>
      <c r="AD12" s="111">
        <f t="shared" ref="AD12:AE12" si="11">SUM(AD9:AD11)</f>
        <v>67853476.562793121</v>
      </c>
      <c r="AE12" s="111">
        <f t="shared" si="11"/>
        <v>68551499.452739656</v>
      </c>
      <c r="AF12" s="111">
        <f t="shared" ref="AF12" si="12">SUM(AF9:AF11)</f>
        <v>68551499.452739656</v>
      </c>
      <c r="AG12" s="111">
        <f t="shared" ref="AG12" si="13">SUM(AG9:AG11)</f>
        <v>68551499.452739656</v>
      </c>
      <c r="AH12" s="111">
        <f t="shared" ref="AH12" si="14">SUM(AH9:AH11)</f>
        <v>68551499.452739656</v>
      </c>
      <c r="AI12" s="111">
        <f t="shared" ref="AI12" si="15">SUM(AI9:AI11)</f>
        <v>68551499.452739656</v>
      </c>
      <c r="AJ12" s="111">
        <f t="shared" ref="AJ12" si="16">SUM(AJ9:AJ11)</f>
        <v>68551499.452739656</v>
      </c>
      <c r="AK12" s="111">
        <f t="shared" ref="AK12" si="17">SUM(AK9:AK11)</f>
        <v>68551499.452739656</v>
      </c>
      <c r="AL12" s="111">
        <f t="shared" ref="AL12" si="18">SUM(AL9:AL11)</f>
        <v>68551499.452739656</v>
      </c>
      <c r="AM12" s="111">
        <f t="shared" ref="AM12" si="19">SUM(AM9:AM11)</f>
        <v>68551499.452739656</v>
      </c>
      <c r="AN12" s="111">
        <f t="shared" ref="AN12" si="20">SUM(AN9:AN11)</f>
        <v>68551499.452739656</v>
      </c>
      <c r="AO12" s="111">
        <f t="shared" ref="AO12" si="21">SUM(AO9:AO11)</f>
        <v>68551499.452739656</v>
      </c>
      <c r="AP12" s="111">
        <f t="shared" ref="AP12:AQ12" si="22">SUM(AP9:AP11)</f>
        <v>68551499.452739656</v>
      </c>
      <c r="AQ12" s="111">
        <f t="shared" si="22"/>
        <v>69805079.779738843</v>
      </c>
      <c r="AR12" s="111">
        <f t="shared" ref="AR12" si="23">SUM(AR9:AR11)</f>
        <v>69805079.779738843</v>
      </c>
      <c r="AS12" s="111">
        <f t="shared" ref="AS12" si="24">SUM(AS9:AS11)</f>
        <v>69805079.779738843</v>
      </c>
      <c r="AT12" s="111">
        <f t="shared" ref="AT12" si="25">SUM(AT9:AT11)</f>
        <v>69805079.779738843</v>
      </c>
      <c r="AU12" s="111">
        <f t="shared" ref="AU12" si="26">SUM(AU9:AU11)</f>
        <v>69805079.779738843</v>
      </c>
      <c r="AV12" s="111">
        <f t="shared" ref="AV12" si="27">SUM(AV9:AV11)</f>
        <v>69805079.779738843</v>
      </c>
      <c r="AW12" s="111">
        <f t="shared" ref="AW12" si="28">SUM(AW9:AW11)</f>
        <v>69805079.779738843</v>
      </c>
      <c r="AX12" s="111">
        <f t="shared" ref="AX12" si="29">SUM(AX9:AX11)</f>
        <v>69805079.779738843</v>
      </c>
      <c r="AY12" s="111">
        <f t="shared" ref="AY12" si="30">SUM(AY9:AY11)</f>
        <v>69805079.779738843</v>
      </c>
      <c r="AZ12" s="111">
        <f t="shared" ref="AZ12" si="31">SUM(AZ9:AZ11)</f>
        <v>69805079.779738843</v>
      </c>
      <c r="BA12" s="111">
        <f t="shared" ref="BA12" si="32">SUM(BA9:BA11)</f>
        <v>69805079.779738843</v>
      </c>
      <c r="BB12" s="111">
        <f t="shared" ref="BB12:BC12" si="33">SUM(BB9:BB11)</f>
        <v>69805079.779738843</v>
      </c>
      <c r="BC12" s="111">
        <f t="shared" si="33"/>
        <v>75335104.378720731</v>
      </c>
      <c r="BD12" s="111">
        <f t="shared" ref="BD12" si="34">SUM(BD9:BD11)</f>
        <v>75335104.378720731</v>
      </c>
      <c r="BE12" s="111">
        <f t="shared" ref="BE12" si="35">SUM(BE9:BE11)</f>
        <v>75335104.378720731</v>
      </c>
      <c r="BF12" s="111">
        <f t="shared" ref="BF12" si="36">SUM(BF9:BF11)</f>
        <v>75335104.378720731</v>
      </c>
      <c r="BG12" s="111">
        <f t="shared" ref="BG12" si="37">SUM(BG9:BG11)</f>
        <v>75335104.378720731</v>
      </c>
      <c r="BH12" s="111">
        <f t="shared" ref="BH12" si="38">SUM(BH9:BH11)</f>
        <v>75335104.378720731</v>
      </c>
      <c r="BI12" s="111">
        <f t="shared" ref="BI12" si="39">SUM(BI9:BI11)</f>
        <v>75335104.378720731</v>
      </c>
      <c r="BJ12" s="111">
        <f t="shared" ref="BJ12" si="40">SUM(BJ9:BJ11)</f>
        <v>75335104.378720731</v>
      </c>
      <c r="BK12" s="111">
        <f t="shared" ref="BK12" si="41">SUM(BK9:BK11)</f>
        <v>75335104.378720731</v>
      </c>
      <c r="BL12" s="111">
        <f t="shared" ref="BL12" si="42">SUM(BL9:BL11)</f>
        <v>75335104.378720731</v>
      </c>
      <c r="BM12" s="111">
        <f t="shared" ref="BM12" si="43">SUM(BM9:BM11)</f>
        <v>75335104.378720731</v>
      </c>
      <c r="BN12" s="111">
        <f t="shared" ref="BN12" si="44">SUM(BN9:BN11)</f>
        <v>75335104.378720731</v>
      </c>
      <c r="BO12" s="111">
        <f t="shared" ref="BO12" si="45">SUM(BO9:BO11)</f>
        <v>82971730.912852854</v>
      </c>
      <c r="BP12" s="111">
        <f t="shared" ref="BP12" si="46">SUM(BP9:BP11)</f>
        <v>82971730.912852854</v>
      </c>
      <c r="BQ12" s="111">
        <f t="shared" ref="BQ12" si="47">SUM(BQ9:BQ11)</f>
        <v>82971730.912852854</v>
      </c>
      <c r="BR12" s="111">
        <f t="shared" ref="BR12" si="48">SUM(BR9:BR11)</f>
        <v>82971730.912852854</v>
      </c>
      <c r="BS12" s="111">
        <f t="shared" ref="BS12" si="49">SUM(BS9:BS11)</f>
        <v>82971730.912852854</v>
      </c>
      <c r="BT12" s="111">
        <f t="shared" ref="BT12" si="50">SUM(BT9:BT11)</f>
        <v>82971730.912852854</v>
      </c>
      <c r="BU12" s="111">
        <f t="shared" ref="BU12" si="51">SUM(BU9:BU11)</f>
        <v>82971730.912852854</v>
      </c>
      <c r="BV12" s="111">
        <f t="shared" ref="BV12" si="52">SUM(BV9:BV11)</f>
        <v>82971730.912852854</v>
      </c>
      <c r="BW12" s="111">
        <f t="shared" ref="BW12" si="53">SUM(BW9:BW11)</f>
        <v>82971730.912852854</v>
      </c>
      <c r="BX12" s="111">
        <f t="shared" ref="BX12" si="54">SUM(BX9:BX11)</f>
        <v>82971730.912852854</v>
      </c>
      <c r="BY12" s="111">
        <f t="shared" ref="BY12" si="55">SUM(BY9:BY11)</f>
        <v>82971730.912852854</v>
      </c>
      <c r="BZ12" s="111">
        <f t="shared" ref="BZ12" si="56">SUM(BZ9:BZ11)</f>
        <v>82971730.912852854</v>
      </c>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row>
    <row r="13" spans="2:129" s="103" customFormat="1" ht="16" customHeight="1" x14ac:dyDescent="0.45">
      <c r="B13" s="110" t="s">
        <v>100</v>
      </c>
      <c r="C13" s="105"/>
      <c r="D13" s="105"/>
      <c r="E13" s="105"/>
      <c r="F13" s="105"/>
      <c r="G13" s="105"/>
      <c r="H13" s="105"/>
      <c r="I13" s="105"/>
      <c r="J13" s="105"/>
      <c r="K13" s="105">
        <f>-K9*'FC - BT Inversionista'!$D$13</f>
        <v>-3945286.1666666674</v>
      </c>
      <c r="L13" s="105">
        <f>-L9*'FC - BT Inversionista'!$D$13</f>
        <v>-3945286.1666666674</v>
      </c>
      <c r="M13" s="105">
        <f>-M9*'FC - BT Inversionista'!$D$13</f>
        <v>-3945286.1666666674</v>
      </c>
      <c r="N13" s="105">
        <f>-N9*'FC - BT Inversionista'!$D$13</f>
        <v>-3945286.1666666674</v>
      </c>
      <c r="O13" s="105">
        <f>-O9*'FC - BT Inversionista'!$D$13</f>
        <v>-3945286.1666666674</v>
      </c>
      <c r="P13" s="105">
        <f>-P9*'FC - BT Inversionista'!$D$13</f>
        <v>-3945286.1666666674</v>
      </c>
      <c r="Q13" s="105">
        <f>-Q9*'FC - BT Inversionista'!$D$13</f>
        <v>-3945286.1666666674</v>
      </c>
      <c r="R13" s="105">
        <f>-R9*'FC - BT Inversionista'!$D$13</f>
        <v>-3945286.1666666674</v>
      </c>
      <c r="S13" s="105">
        <f>-S9*'FC - BT Inversionista'!$E$13</f>
        <v>0</v>
      </c>
      <c r="T13" s="105">
        <f>-T9*'FC - BT Inversionista'!$E$13</f>
        <v>0</v>
      </c>
      <c r="U13" s="105">
        <f>-U9*'FC - BT Inversionista'!$E$13</f>
        <v>0</v>
      </c>
      <c r="V13" s="105">
        <f>-V9*'FC - BT Inversionista'!$E$13</f>
        <v>0</v>
      </c>
      <c r="W13" s="105">
        <f>-W9*'FC - BT Inversionista'!$E$13</f>
        <v>0</v>
      </c>
      <c r="X13" s="105">
        <f>-X9*'FC - BT Inversionista'!$E$13</f>
        <v>0</v>
      </c>
      <c r="Y13" s="105">
        <f>-Y9*'FC - BT Inversionista'!$E$13</f>
        <v>0</v>
      </c>
      <c r="Z13" s="105">
        <f>-Z9*'FC - BT Inversionista'!$E$13</f>
        <v>0</v>
      </c>
      <c r="AA13" s="105">
        <f>-AA9*'FC - BT Inversionista'!$E$13</f>
        <v>0</v>
      </c>
      <c r="AB13" s="105">
        <f>-AB9*'FC - BT Inversionista'!$E$13</f>
        <v>0</v>
      </c>
      <c r="AC13" s="105">
        <f>-AC9*'FC - BT Inversionista'!$E$13</f>
        <v>0</v>
      </c>
      <c r="AD13" s="105">
        <f>-AD9*'FC - BT Inversionista'!$E$13</f>
        <v>0</v>
      </c>
      <c r="AE13" s="105">
        <f>-AE9*'FC - BT Inversionista'!$E$13</f>
        <v>0</v>
      </c>
      <c r="AF13" s="105">
        <f>-AF9*'FC - BT Inversionista'!$E$13</f>
        <v>0</v>
      </c>
      <c r="AG13" s="105">
        <f>-AG9*'FC - BT Inversionista'!$E$13</f>
        <v>0</v>
      </c>
      <c r="AH13" s="105">
        <f>-AH9*'FC - BT Inversionista'!$E$13</f>
        <v>0</v>
      </c>
      <c r="AI13" s="105">
        <f>-AI9*'FC - BT Inversionista'!$E$13</f>
        <v>0</v>
      </c>
      <c r="AJ13" s="105">
        <f>-AJ9*'FC - BT Inversionista'!$E$13</f>
        <v>0</v>
      </c>
      <c r="AK13" s="105">
        <f>-AK9*'FC - BT Inversionista'!$E$13</f>
        <v>0</v>
      </c>
      <c r="AL13" s="105">
        <f>-AL9*'FC - BT Inversionista'!$E$13</f>
        <v>0</v>
      </c>
      <c r="AM13" s="105">
        <f>-AM9*'FC - BT Inversionista'!$E$13</f>
        <v>0</v>
      </c>
      <c r="AN13" s="105">
        <f>-AN9*'FC - BT Inversionista'!$E$13</f>
        <v>0</v>
      </c>
      <c r="AO13" s="105">
        <f>-AO9*'FC - BT Inversionista'!$E$13</f>
        <v>0</v>
      </c>
      <c r="AP13" s="105">
        <f>-AP9*'FC - BT Inversionista'!$E$13</f>
        <v>0</v>
      </c>
      <c r="AQ13" s="105">
        <f>-AQ9*'FC - BT Inversionista'!$E$13</f>
        <v>0</v>
      </c>
      <c r="AR13" s="105">
        <f>-AR9*'FC - BT Inversionista'!$E$13</f>
        <v>0</v>
      </c>
      <c r="AS13" s="105">
        <f>-AS9*'FC - BT Inversionista'!$E$13</f>
        <v>0</v>
      </c>
      <c r="AT13" s="105">
        <f>-AT9*'FC - BT Inversionista'!$E$13</f>
        <v>0</v>
      </c>
      <c r="AU13" s="105">
        <f>-AU9*'FC - BT Inversionista'!$E$13</f>
        <v>0</v>
      </c>
      <c r="AV13" s="105">
        <f>-AV9*'FC - BT Inversionista'!$E$13</f>
        <v>0</v>
      </c>
      <c r="AW13" s="105">
        <f>-AW9*'FC - BT Inversionista'!$E$13</f>
        <v>0</v>
      </c>
      <c r="AX13" s="105">
        <f>-AX9*'FC - BT Inversionista'!$E$13</f>
        <v>0</v>
      </c>
      <c r="AY13" s="105">
        <f>-AY9*'FC - BT Inversionista'!$E$13</f>
        <v>0</v>
      </c>
      <c r="AZ13" s="105">
        <f>-AZ9*'FC - BT Inversionista'!$E$13</f>
        <v>0</v>
      </c>
      <c r="BA13" s="105">
        <f>-BA9*'FC - BT Inversionista'!$E$13</f>
        <v>0</v>
      </c>
      <c r="BB13" s="105">
        <f>-BB9*'FC - BT Inversionista'!$E$13</f>
        <v>0</v>
      </c>
      <c r="BC13" s="105">
        <f>-BC9*'FC - BT Inversionista'!$E$13</f>
        <v>0</v>
      </c>
      <c r="BD13" s="105">
        <f>-BD9*'FC - BT Inversionista'!$E$13</f>
        <v>0</v>
      </c>
      <c r="BE13" s="105">
        <f>-BE9*'FC - BT Inversionista'!$E$13</f>
        <v>0</v>
      </c>
      <c r="BF13" s="105">
        <f>-BF9*'FC - BT Inversionista'!$E$13</f>
        <v>0</v>
      </c>
      <c r="BG13" s="105">
        <f>-BG9*'FC - BT Inversionista'!$E$13</f>
        <v>0</v>
      </c>
      <c r="BH13" s="105">
        <f>-BH9*'FC - BT Inversionista'!$E$13</f>
        <v>0</v>
      </c>
      <c r="BI13" s="105">
        <f>-BI9*'FC - BT Inversionista'!$E$13</f>
        <v>0</v>
      </c>
      <c r="BJ13" s="105">
        <f>-BJ9*'FC - BT Inversionista'!$E$13</f>
        <v>0</v>
      </c>
      <c r="BK13" s="105">
        <f>-BK9*'FC - BT Inversionista'!$E$13</f>
        <v>0</v>
      </c>
      <c r="BL13" s="105">
        <f>-BL9*'FC - BT Inversionista'!$E$13</f>
        <v>0</v>
      </c>
      <c r="BM13" s="105">
        <f>-BM9*'FC - BT Inversionista'!$E$13</f>
        <v>0</v>
      </c>
      <c r="BN13" s="105">
        <f>-BN9*'FC - BT Inversionista'!$E$13</f>
        <v>0</v>
      </c>
      <c r="BO13" s="105">
        <f>-BO9*'FC - BT Inversionista'!$E$13</f>
        <v>0</v>
      </c>
      <c r="BP13" s="105">
        <f>-BP9*'FC - BT Inversionista'!$E$13</f>
        <v>0</v>
      </c>
      <c r="BQ13" s="105">
        <f>-BQ9*'FC - BT Inversionista'!$E$13</f>
        <v>0</v>
      </c>
      <c r="BR13" s="105">
        <f>-BR9*'FC - BT Inversionista'!$E$13</f>
        <v>0</v>
      </c>
      <c r="BS13" s="105">
        <f>-BS9*'FC - BT Inversionista'!$E$13</f>
        <v>0</v>
      </c>
      <c r="BT13" s="105">
        <f>-BT9*'FC - BT Inversionista'!$E$13</f>
        <v>0</v>
      </c>
      <c r="BU13" s="105">
        <f>-BU9*'FC - BT Inversionista'!$E$13</f>
        <v>0</v>
      </c>
      <c r="BV13" s="105">
        <f>-BV9*'FC - BT Inversionista'!$E$13</f>
        <v>0</v>
      </c>
      <c r="BW13" s="105">
        <f>-BW9*'FC - BT Inversionista'!$E$13</f>
        <v>0</v>
      </c>
      <c r="BX13" s="105">
        <f>-BX9*'FC - BT Inversionista'!$E$13</f>
        <v>0</v>
      </c>
      <c r="BY13" s="105">
        <f>-BY9*'FC - BT Inversionista'!$E$13</f>
        <v>0</v>
      </c>
      <c r="BZ13" s="105">
        <f>-BZ9*'FC - BT Inversionista'!$E$13</f>
        <v>0</v>
      </c>
      <c r="CA13" s="105"/>
      <c r="CB13" s="105"/>
      <c r="CC13" s="105"/>
      <c r="CD13" s="105"/>
      <c r="CE13" s="105"/>
      <c r="CF13" s="105"/>
      <c r="CG13" s="105"/>
      <c r="CH13" s="105"/>
      <c r="CI13" s="105"/>
      <c r="CJ13" s="105"/>
      <c r="CK13" s="105"/>
      <c r="CL13" s="105"/>
      <c r="CM13" s="105"/>
      <c r="CN13" s="105"/>
      <c r="CO13" s="105"/>
      <c r="CP13" s="105"/>
      <c r="CQ13" s="105"/>
      <c r="CR13" s="105"/>
      <c r="CS13" s="105"/>
      <c r="CT13" s="105"/>
      <c r="CU13" s="105"/>
      <c r="CV13" s="105"/>
      <c r="CW13" s="105"/>
      <c r="CX13" s="105"/>
      <c r="CY13" s="105"/>
      <c r="CZ13" s="105"/>
      <c r="DA13" s="105"/>
      <c r="DB13" s="105"/>
      <c r="DC13" s="105"/>
      <c r="DD13" s="105"/>
      <c r="DE13" s="105"/>
      <c r="DF13" s="105"/>
      <c r="DG13" s="105"/>
      <c r="DH13" s="105"/>
      <c r="DI13" s="105"/>
      <c r="DJ13" s="105"/>
      <c r="DK13" s="105"/>
      <c r="DL13" s="105"/>
      <c r="DM13" s="105"/>
      <c r="DN13" s="105"/>
      <c r="DO13" s="105"/>
      <c r="DP13" s="105"/>
      <c r="DQ13" s="105"/>
      <c r="DR13" s="105"/>
      <c r="DS13" s="105"/>
      <c r="DT13" s="105"/>
      <c r="DU13" s="105"/>
      <c r="DV13" s="105"/>
      <c r="DW13" s="105"/>
      <c r="DX13" s="105"/>
      <c r="DY13" s="105"/>
    </row>
    <row r="14" spans="2:129" s="103" customFormat="1" ht="16" customHeight="1" x14ac:dyDescent="0.45">
      <c r="B14" s="110" t="s">
        <v>61</v>
      </c>
      <c r="C14" s="105"/>
      <c r="D14" s="105"/>
      <c r="E14" s="105"/>
      <c r="F14" s="105"/>
      <c r="G14" s="105"/>
      <c r="H14" s="105"/>
      <c r="I14" s="105"/>
      <c r="J14" s="105"/>
      <c r="K14" s="105">
        <f>'FC - BT Inversionista'!$D$40/12</f>
        <v>-1675000</v>
      </c>
      <c r="L14" s="105">
        <f>'FC - BT Inversionista'!$D$40/12</f>
        <v>-1675000</v>
      </c>
      <c r="M14" s="105">
        <f>'FC - BT Inversionista'!$D$40/12</f>
        <v>-1675000</v>
      </c>
      <c r="N14" s="105">
        <f>'FC - BT Inversionista'!$D$40/12</f>
        <v>-1675000</v>
      </c>
      <c r="O14" s="105">
        <f>'FC - BT Inversionista'!$D$40/12</f>
        <v>-1675000</v>
      </c>
      <c r="P14" s="105">
        <f>'FC - BT Inversionista'!$D$40/12</f>
        <v>-1675000</v>
      </c>
      <c r="Q14" s="105">
        <f>'FC - BT Inversionista'!$D$40/12</f>
        <v>-1675000</v>
      </c>
      <c r="R14" s="105">
        <f>'FC - BT Inversionista'!$D$40/12</f>
        <v>-1675000</v>
      </c>
      <c r="S14" s="105">
        <f>'FC - BT Inversionista'!$E$40/12</f>
        <v>-1792250</v>
      </c>
      <c r="T14" s="105">
        <f>'FC - BT Inversionista'!$E$40/12</f>
        <v>-1792250</v>
      </c>
      <c r="U14" s="105">
        <f>'FC - BT Inversionista'!$E$40/12</f>
        <v>-1792250</v>
      </c>
      <c r="V14" s="105">
        <f>'FC - BT Inversionista'!$E$40/12</f>
        <v>-1792250</v>
      </c>
      <c r="W14" s="105">
        <f>'FC - BT Inversionista'!$E$40/12</f>
        <v>-1792250</v>
      </c>
      <c r="X14" s="105">
        <f>'FC - BT Inversionista'!$E$40/12</f>
        <v>-1792250</v>
      </c>
      <c r="Y14" s="105">
        <f>'FC - BT Inversionista'!$E$40/12</f>
        <v>-1792250</v>
      </c>
      <c r="Z14" s="105">
        <f>'FC - BT Inversionista'!$E$40/12</f>
        <v>-1792250</v>
      </c>
      <c r="AA14" s="105">
        <f>'FC - BT Inversionista'!$E$40/12</f>
        <v>-1792250</v>
      </c>
      <c r="AB14" s="105">
        <f>'FC - BT Inversionista'!$E$40/12</f>
        <v>-1792250</v>
      </c>
      <c r="AC14" s="105">
        <f>'FC - BT Inversionista'!$E$40/12</f>
        <v>-1792250</v>
      </c>
      <c r="AD14" s="105">
        <f>'FC - BT Inversionista'!$E$40/12</f>
        <v>-1792250</v>
      </c>
      <c r="AE14" s="105">
        <f>'FC - BT Inversionista'!$F$40/12</f>
        <v>-1881862.5</v>
      </c>
      <c r="AF14" s="105">
        <f>'FC - BT Inversionista'!$F$40/12</f>
        <v>-1881862.5</v>
      </c>
      <c r="AG14" s="105">
        <f>'FC - BT Inversionista'!$F$40/12</f>
        <v>-1881862.5</v>
      </c>
      <c r="AH14" s="105">
        <f>'FC - BT Inversionista'!$F$40/12</f>
        <v>-1881862.5</v>
      </c>
      <c r="AI14" s="105">
        <f>'FC - BT Inversionista'!$F$40/12</f>
        <v>-1881862.5</v>
      </c>
      <c r="AJ14" s="105">
        <f>'FC - BT Inversionista'!$F$40/12</f>
        <v>-1881862.5</v>
      </c>
      <c r="AK14" s="105">
        <f>'FC - BT Inversionista'!$F$40/12</f>
        <v>-1881862.5</v>
      </c>
      <c r="AL14" s="105">
        <f>'FC - BT Inversionista'!$F$40/12</f>
        <v>-1881862.5</v>
      </c>
      <c r="AM14" s="105">
        <f>'FC - BT Inversionista'!$F$40/12</f>
        <v>-1881862.5</v>
      </c>
      <c r="AN14" s="105">
        <f>'FC - BT Inversionista'!$F$40/12</f>
        <v>-1881862.5</v>
      </c>
      <c r="AO14" s="105">
        <f>'FC - BT Inversionista'!$F$40/12</f>
        <v>-1881862.5</v>
      </c>
      <c r="AP14" s="105">
        <f>'FC - BT Inversionista'!$F$40/12</f>
        <v>-1881862.5</v>
      </c>
      <c r="AQ14" s="105">
        <f>'FC - BT Inversionista'!$G$40/12</f>
        <v>-1975955.625</v>
      </c>
      <c r="AR14" s="105">
        <f>'FC - BT Inversionista'!$G$40/12</f>
        <v>-1975955.625</v>
      </c>
      <c r="AS14" s="105">
        <f>'FC - BT Inversionista'!$G$40/12</f>
        <v>-1975955.625</v>
      </c>
      <c r="AT14" s="105">
        <f>'FC - BT Inversionista'!$G$40/12</f>
        <v>-1975955.625</v>
      </c>
      <c r="AU14" s="105">
        <f>'FC - BT Inversionista'!$G$40/12</f>
        <v>-1975955.625</v>
      </c>
      <c r="AV14" s="105">
        <f>'FC - BT Inversionista'!$G$40/12</f>
        <v>-1975955.625</v>
      </c>
      <c r="AW14" s="105">
        <f>'FC - BT Inversionista'!$G$40/12</f>
        <v>-1975955.625</v>
      </c>
      <c r="AX14" s="105">
        <f>'FC - BT Inversionista'!$G$40/12</f>
        <v>-1975955.625</v>
      </c>
      <c r="AY14" s="105">
        <f>'FC - BT Inversionista'!$G$40/12</f>
        <v>-1975955.625</v>
      </c>
      <c r="AZ14" s="105">
        <f>'FC - BT Inversionista'!$G$40/12</f>
        <v>-1975955.625</v>
      </c>
      <c r="BA14" s="105">
        <f>'FC - BT Inversionista'!$G$40/12</f>
        <v>-1975955.625</v>
      </c>
      <c r="BB14" s="105">
        <f>'FC - BT Inversionista'!$G$40/12</f>
        <v>-1975955.625</v>
      </c>
      <c r="BC14" s="105">
        <f>'FC - BT Inversionista'!$H$40/12</f>
        <v>-2074753.40625</v>
      </c>
      <c r="BD14" s="105">
        <f>'FC - BT Inversionista'!$H$40/12</f>
        <v>-2074753.40625</v>
      </c>
      <c r="BE14" s="105">
        <f>'FC - BT Inversionista'!$H$40/12</f>
        <v>-2074753.40625</v>
      </c>
      <c r="BF14" s="105">
        <f>'FC - BT Inversionista'!$H$40/12</f>
        <v>-2074753.40625</v>
      </c>
      <c r="BG14" s="105">
        <f>'FC - BT Inversionista'!$H$40/12</f>
        <v>-2074753.40625</v>
      </c>
      <c r="BH14" s="105">
        <f>'FC - BT Inversionista'!$H$40/12</f>
        <v>-2074753.40625</v>
      </c>
      <c r="BI14" s="105">
        <f>'FC - BT Inversionista'!$H$40/12</f>
        <v>-2074753.40625</v>
      </c>
      <c r="BJ14" s="105">
        <f>'FC - BT Inversionista'!$H$40/12</f>
        <v>-2074753.40625</v>
      </c>
      <c r="BK14" s="105">
        <f>'FC - BT Inversionista'!$H$40/12</f>
        <v>-2074753.40625</v>
      </c>
      <c r="BL14" s="105">
        <f>'FC - BT Inversionista'!$H$40/12</f>
        <v>-2074753.40625</v>
      </c>
      <c r="BM14" s="105">
        <f>'FC - BT Inversionista'!$H$40/12</f>
        <v>-2074753.40625</v>
      </c>
      <c r="BN14" s="105">
        <f>'FC - BT Inversionista'!$H$40/12</f>
        <v>-2074753.40625</v>
      </c>
      <c r="BO14" s="105">
        <f>'FC - BT Inversionista'!$I$40/12</f>
        <v>-2178491.0765625001</v>
      </c>
      <c r="BP14" s="105">
        <f>'FC - BT Inversionista'!$I$40/12</f>
        <v>-2178491.0765625001</v>
      </c>
      <c r="BQ14" s="105">
        <f>'FC - BT Inversionista'!$I$40/12</f>
        <v>-2178491.0765625001</v>
      </c>
      <c r="BR14" s="105">
        <f>'FC - BT Inversionista'!$I$40/12</f>
        <v>-2178491.0765625001</v>
      </c>
      <c r="BS14" s="105">
        <f>'FC - BT Inversionista'!$I$40/12</f>
        <v>-2178491.0765625001</v>
      </c>
      <c r="BT14" s="105">
        <f>'FC - BT Inversionista'!$I$40/12</f>
        <v>-2178491.0765625001</v>
      </c>
      <c r="BU14" s="105">
        <f>'FC - BT Inversionista'!$I$40/12</f>
        <v>-2178491.0765625001</v>
      </c>
      <c r="BV14" s="105">
        <f>'FC - BT Inversionista'!$I$40/12</f>
        <v>-2178491.0765625001</v>
      </c>
      <c r="BW14" s="105">
        <f>'FC - BT Inversionista'!$I$40/12</f>
        <v>-2178491.0765625001</v>
      </c>
      <c r="BX14" s="105">
        <f>'FC - BT Inversionista'!$I$40/12</f>
        <v>-2178491.0765625001</v>
      </c>
      <c r="BY14" s="105">
        <f>'FC - BT Inversionista'!$I$40/12</f>
        <v>-2178491.0765625001</v>
      </c>
      <c r="BZ14" s="105">
        <f>'FC - BT Inversionista'!$I$40/12</f>
        <v>-2178491.0765625001</v>
      </c>
      <c r="CA14" s="105"/>
      <c r="CB14" s="105"/>
      <c r="CC14" s="105"/>
      <c r="CD14" s="105"/>
      <c r="CE14" s="105"/>
      <c r="CF14" s="105"/>
      <c r="CG14" s="105"/>
      <c r="CH14" s="105"/>
      <c r="CI14" s="105"/>
      <c r="CJ14" s="105"/>
      <c r="CK14" s="105"/>
      <c r="CL14" s="105"/>
      <c r="CM14" s="105"/>
      <c r="CN14" s="105"/>
      <c r="CO14" s="105"/>
      <c r="CP14" s="105"/>
      <c r="CQ14" s="105"/>
      <c r="CR14" s="105"/>
      <c r="CS14" s="105"/>
      <c r="CT14" s="105"/>
      <c r="CU14" s="105"/>
      <c r="CV14" s="105"/>
      <c r="CW14" s="105"/>
      <c r="CX14" s="105"/>
      <c r="CY14" s="105"/>
      <c r="CZ14" s="105"/>
      <c r="DA14" s="105"/>
      <c r="DB14" s="105"/>
      <c r="DC14" s="105"/>
      <c r="DD14" s="105"/>
      <c r="DE14" s="105"/>
      <c r="DF14" s="105"/>
      <c r="DG14" s="105"/>
      <c r="DH14" s="105"/>
      <c r="DI14" s="105"/>
      <c r="DJ14" s="105"/>
      <c r="DK14" s="105"/>
      <c r="DL14" s="105"/>
      <c r="DM14" s="105"/>
      <c r="DN14" s="105"/>
      <c r="DO14" s="105"/>
      <c r="DP14" s="105"/>
      <c r="DQ14" s="105"/>
      <c r="DR14" s="105"/>
      <c r="DS14" s="105"/>
      <c r="DT14" s="105"/>
      <c r="DU14" s="105"/>
      <c r="DV14" s="105"/>
      <c r="DW14" s="105"/>
      <c r="DX14" s="105"/>
      <c r="DY14" s="105"/>
    </row>
    <row r="15" spans="2:129" s="103" customFormat="1" ht="16" customHeight="1" x14ac:dyDescent="0.45">
      <c r="B15" s="110" t="s">
        <v>25</v>
      </c>
      <c r="C15" s="105"/>
      <c r="D15" s="105"/>
      <c r="E15" s="105"/>
      <c r="F15" s="105"/>
      <c r="G15" s="105"/>
      <c r="H15" s="105"/>
      <c r="I15" s="105"/>
      <c r="J15" s="105"/>
      <c r="K15" s="105">
        <f>'FC - BT Inversionista'!$D$41/12</f>
        <v>1333333.3333333333</v>
      </c>
      <c r="L15" s="105">
        <f>'FC - BT Inversionista'!$D$41/12</f>
        <v>1333333.3333333333</v>
      </c>
      <c r="M15" s="105">
        <f>'FC - BT Inversionista'!$D$41/12</f>
        <v>1333333.3333333333</v>
      </c>
      <c r="N15" s="105">
        <f>'FC - BT Inversionista'!$D$41/12</f>
        <v>1333333.3333333333</v>
      </c>
      <c r="O15" s="105">
        <f>'FC - BT Inversionista'!$D$41/12</f>
        <v>1333333.3333333333</v>
      </c>
      <c r="P15" s="105">
        <f>'FC - BT Inversionista'!$D$41/12</f>
        <v>1333333.3333333333</v>
      </c>
      <c r="Q15" s="105">
        <f>'FC - BT Inversionista'!$D$41/12</f>
        <v>1333333.3333333333</v>
      </c>
      <c r="R15" s="105">
        <f>'FC - BT Inversionista'!$D$41/12</f>
        <v>1333333.3333333333</v>
      </c>
      <c r="S15" s="105">
        <f>'FC - BT Inversionista'!$E$41/12</f>
        <v>1426666.6666666667</v>
      </c>
      <c r="T15" s="105">
        <f>'FC - BT Inversionista'!$E$41/12</f>
        <v>1426666.6666666667</v>
      </c>
      <c r="U15" s="105">
        <f>'FC - BT Inversionista'!$E$41/12</f>
        <v>1426666.6666666667</v>
      </c>
      <c r="V15" s="105">
        <f>'FC - BT Inversionista'!$E$41/12</f>
        <v>1426666.6666666667</v>
      </c>
      <c r="W15" s="105">
        <f>'FC - BT Inversionista'!$E$41/12</f>
        <v>1426666.6666666667</v>
      </c>
      <c r="X15" s="105">
        <f>'FC - BT Inversionista'!$E$41/12</f>
        <v>1426666.6666666667</v>
      </c>
      <c r="Y15" s="105">
        <f>'FC - BT Inversionista'!$E$41/12</f>
        <v>1426666.6666666667</v>
      </c>
      <c r="Z15" s="105">
        <f>'FC - BT Inversionista'!$E$41/12</f>
        <v>1426666.6666666667</v>
      </c>
      <c r="AA15" s="105">
        <f>'FC - BT Inversionista'!$E$41/12</f>
        <v>1426666.6666666667</v>
      </c>
      <c r="AB15" s="105">
        <f>'FC - BT Inversionista'!$E$41/12</f>
        <v>1426666.6666666667</v>
      </c>
      <c r="AC15" s="105">
        <f>'FC - BT Inversionista'!$E$41/12</f>
        <v>1426666.6666666667</v>
      </c>
      <c r="AD15" s="105">
        <f>'FC - BT Inversionista'!$E$41/12</f>
        <v>1426666.6666666667</v>
      </c>
      <c r="AE15" s="105">
        <f>'FC - BT Inversionista'!$F$41/12</f>
        <v>1498000</v>
      </c>
      <c r="AF15" s="105">
        <f>'FC - BT Inversionista'!$F$41/12</f>
        <v>1498000</v>
      </c>
      <c r="AG15" s="105">
        <f>'FC - BT Inversionista'!$F$41/12</f>
        <v>1498000</v>
      </c>
      <c r="AH15" s="105">
        <f>'FC - BT Inversionista'!$F$41/12</f>
        <v>1498000</v>
      </c>
      <c r="AI15" s="105">
        <f>'FC - BT Inversionista'!$F$41/12</f>
        <v>1498000</v>
      </c>
      <c r="AJ15" s="105">
        <f>'FC - BT Inversionista'!$F$41/12</f>
        <v>1498000</v>
      </c>
      <c r="AK15" s="105">
        <f>'FC - BT Inversionista'!$F$41/12</f>
        <v>1498000</v>
      </c>
      <c r="AL15" s="105">
        <f>'FC - BT Inversionista'!$F$41/12</f>
        <v>1498000</v>
      </c>
      <c r="AM15" s="105">
        <f>'FC - BT Inversionista'!$F$41/12</f>
        <v>1498000</v>
      </c>
      <c r="AN15" s="105">
        <f>'FC - BT Inversionista'!$F$41/12</f>
        <v>1498000</v>
      </c>
      <c r="AO15" s="105">
        <f>'FC - BT Inversionista'!$F$41/12</f>
        <v>1498000</v>
      </c>
      <c r="AP15" s="105">
        <f>'FC - BT Inversionista'!$F$41/12</f>
        <v>1498000</v>
      </c>
      <c r="AQ15" s="105">
        <f>'FC - BT Inversionista'!$G$41/12</f>
        <v>1572900</v>
      </c>
      <c r="AR15" s="105">
        <f>'FC - BT Inversionista'!$G$41/12</f>
        <v>1572900</v>
      </c>
      <c r="AS15" s="105">
        <f>'FC - BT Inversionista'!$G$41/12</f>
        <v>1572900</v>
      </c>
      <c r="AT15" s="105">
        <f>'FC - BT Inversionista'!$G$41/12</f>
        <v>1572900</v>
      </c>
      <c r="AU15" s="105">
        <f>'FC - BT Inversionista'!$G$41/12</f>
        <v>1572900</v>
      </c>
      <c r="AV15" s="105">
        <f>'FC - BT Inversionista'!$G$41/12</f>
        <v>1572900</v>
      </c>
      <c r="AW15" s="105">
        <f>'FC - BT Inversionista'!$G$41/12</f>
        <v>1572900</v>
      </c>
      <c r="AX15" s="105">
        <f>'FC - BT Inversionista'!$G$41/12</f>
        <v>1572900</v>
      </c>
      <c r="AY15" s="105">
        <f>'FC - BT Inversionista'!$G$41/12</f>
        <v>1572900</v>
      </c>
      <c r="AZ15" s="105">
        <f>'FC - BT Inversionista'!$G$41/12</f>
        <v>1572900</v>
      </c>
      <c r="BA15" s="105">
        <f>'FC - BT Inversionista'!$G$41/12</f>
        <v>1572900</v>
      </c>
      <c r="BB15" s="105">
        <f>'FC - BT Inversionista'!$G$41/12</f>
        <v>1572900</v>
      </c>
      <c r="BC15" s="105">
        <f>'FC - BT Inversionista'!$H$41/12</f>
        <v>1651545</v>
      </c>
      <c r="BD15" s="105">
        <f>'FC - BT Inversionista'!$H$41/12</f>
        <v>1651545</v>
      </c>
      <c r="BE15" s="105">
        <f>'FC - BT Inversionista'!$H$41/12</f>
        <v>1651545</v>
      </c>
      <c r="BF15" s="105">
        <f>'FC - BT Inversionista'!$H$41/12</f>
        <v>1651545</v>
      </c>
      <c r="BG15" s="105">
        <f>'FC - BT Inversionista'!$H$41/12</f>
        <v>1651545</v>
      </c>
      <c r="BH15" s="105">
        <f>'FC - BT Inversionista'!$H$41/12</f>
        <v>1651545</v>
      </c>
      <c r="BI15" s="105">
        <f>'FC - BT Inversionista'!$H$41/12</f>
        <v>1651545</v>
      </c>
      <c r="BJ15" s="105">
        <f>'FC - BT Inversionista'!$H$41/12</f>
        <v>1651545</v>
      </c>
      <c r="BK15" s="105">
        <f>'FC - BT Inversionista'!$H$41/12</f>
        <v>1651545</v>
      </c>
      <c r="BL15" s="105">
        <f>'FC - BT Inversionista'!$H$41/12</f>
        <v>1651545</v>
      </c>
      <c r="BM15" s="105">
        <f>'FC - BT Inversionista'!$H$41/12</f>
        <v>1651545</v>
      </c>
      <c r="BN15" s="105">
        <f>'FC - BT Inversionista'!$H$41/12</f>
        <v>1651545</v>
      </c>
      <c r="BO15" s="105">
        <f>'FC - BT Inversionista'!$I$41/12</f>
        <v>1734122.25</v>
      </c>
      <c r="BP15" s="105">
        <f>'FC - BT Inversionista'!$I$41/12</f>
        <v>1734122.25</v>
      </c>
      <c r="BQ15" s="105">
        <f>'FC - BT Inversionista'!$I$41/12</f>
        <v>1734122.25</v>
      </c>
      <c r="BR15" s="105">
        <f>'FC - BT Inversionista'!$I$41/12</f>
        <v>1734122.25</v>
      </c>
      <c r="BS15" s="105">
        <f>'FC - BT Inversionista'!$I$41/12</f>
        <v>1734122.25</v>
      </c>
      <c r="BT15" s="105">
        <f>'FC - BT Inversionista'!$I$41/12</f>
        <v>1734122.25</v>
      </c>
      <c r="BU15" s="105">
        <f>'FC - BT Inversionista'!$I$41/12</f>
        <v>1734122.25</v>
      </c>
      <c r="BV15" s="105">
        <f>'FC - BT Inversionista'!$I$41/12</f>
        <v>1734122.25</v>
      </c>
      <c r="BW15" s="105">
        <f>'FC - BT Inversionista'!$I$41/12</f>
        <v>1734122.25</v>
      </c>
      <c r="BX15" s="105">
        <f>'FC - BT Inversionista'!$I$41/12</f>
        <v>1734122.25</v>
      </c>
      <c r="BY15" s="105">
        <f>'FC - BT Inversionista'!$I$41/12</f>
        <v>1734122.25</v>
      </c>
      <c r="BZ15" s="105">
        <f>'FC - BT Inversionista'!$I$41/12</f>
        <v>1734122.25</v>
      </c>
      <c r="CA15" s="105"/>
      <c r="CB15" s="105"/>
      <c r="CC15" s="105"/>
      <c r="CD15" s="105"/>
      <c r="CE15" s="105"/>
      <c r="CF15" s="105"/>
      <c r="CG15" s="105"/>
      <c r="CH15" s="105"/>
      <c r="CI15" s="105"/>
      <c r="CJ15" s="105"/>
      <c r="CK15" s="105"/>
      <c r="CL15" s="105"/>
      <c r="CM15" s="105"/>
      <c r="CN15" s="105"/>
      <c r="CO15" s="105"/>
      <c r="CP15" s="105"/>
      <c r="CQ15" s="105"/>
      <c r="CR15" s="105"/>
      <c r="CS15" s="105"/>
      <c r="CT15" s="105"/>
      <c r="CU15" s="105"/>
      <c r="CV15" s="105"/>
      <c r="CW15" s="105"/>
      <c r="CX15" s="105"/>
      <c r="CY15" s="105"/>
      <c r="CZ15" s="105"/>
      <c r="DA15" s="105"/>
      <c r="DB15" s="105"/>
      <c r="DC15" s="105"/>
      <c r="DD15" s="105"/>
      <c r="DE15" s="105"/>
      <c r="DF15" s="105"/>
      <c r="DG15" s="105"/>
      <c r="DH15" s="105"/>
      <c r="DI15" s="105"/>
      <c r="DJ15" s="105"/>
      <c r="DK15" s="105"/>
      <c r="DL15" s="105"/>
      <c r="DM15" s="105"/>
      <c r="DN15" s="105"/>
      <c r="DO15" s="105"/>
      <c r="DP15" s="105"/>
      <c r="DQ15" s="105"/>
      <c r="DR15" s="105"/>
      <c r="DS15" s="105"/>
      <c r="DT15" s="105"/>
      <c r="DU15" s="105"/>
      <c r="DV15" s="105"/>
      <c r="DW15" s="105"/>
      <c r="DX15" s="105"/>
      <c r="DY15" s="105"/>
    </row>
    <row r="16" spans="2:129" s="103" customFormat="1" ht="16" customHeight="1" x14ac:dyDescent="0.45">
      <c r="B16" s="110" t="s">
        <v>101</v>
      </c>
      <c r="C16" s="105"/>
      <c r="D16" s="105"/>
      <c r="E16" s="105"/>
      <c r="F16" s="105"/>
      <c r="G16" s="105"/>
      <c r="H16" s="105"/>
      <c r="I16" s="105"/>
      <c r="J16" s="105"/>
      <c r="K16" s="105">
        <f>'FC - BT Inversionista'!$D$42/12</f>
        <v>-473434.34000000008</v>
      </c>
      <c r="L16" s="105">
        <f>'FC - BT Inversionista'!$D$42/12</f>
        <v>-473434.34000000008</v>
      </c>
      <c r="M16" s="105">
        <f>'FC - BT Inversionista'!$D$42/12</f>
        <v>-473434.34000000008</v>
      </c>
      <c r="N16" s="105">
        <f>'FC - BT Inversionista'!$D$42/12</f>
        <v>-473434.34000000008</v>
      </c>
      <c r="O16" s="105">
        <f>'FC - BT Inversionista'!$D$42/12</f>
        <v>-473434.34000000008</v>
      </c>
      <c r="P16" s="105">
        <f>'FC - BT Inversionista'!$D$42/12</f>
        <v>-473434.34000000008</v>
      </c>
      <c r="Q16" s="105">
        <f>'FC - BT Inversionista'!$D$42/12</f>
        <v>-473434.34000000008</v>
      </c>
      <c r="R16" s="105">
        <f>'FC - BT Inversionista'!$D$42/12</f>
        <v>-473434.34000000008</v>
      </c>
      <c r="S16" s="105">
        <f>'FC - BT Inversionista'!$E$42/12</f>
        <v>-449722.70468710357</v>
      </c>
      <c r="T16" s="105">
        <f>'FC - BT Inversionista'!$E$42/12</f>
        <v>-449722.70468710357</v>
      </c>
      <c r="U16" s="105">
        <f>'FC - BT Inversionista'!$E$42/12</f>
        <v>-449722.70468710357</v>
      </c>
      <c r="V16" s="105">
        <f>'FC - BT Inversionista'!$E$42/12</f>
        <v>-449722.70468710357</v>
      </c>
      <c r="W16" s="105">
        <f>'FC - BT Inversionista'!$E$42/12</f>
        <v>-449722.70468710357</v>
      </c>
      <c r="X16" s="105">
        <f>'FC - BT Inversionista'!$E$42/12</f>
        <v>-449722.70468710357</v>
      </c>
      <c r="Y16" s="105">
        <f>'FC - BT Inversionista'!$E$42/12</f>
        <v>-449722.70468710357</v>
      </c>
      <c r="Z16" s="105">
        <f>'FC - BT Inversionista'!$E$42/12</f>
        <v>-449722.70468710357</v>
      </c>
      <c r="AA16" s="105">
        <f>'FC - BT Inversionista'!$E$42/12</f>
        <v>-449722.70468710357</v>
      </c>
      <c r="AB16" s="105">
        <f>'FC - BT Inversionista'!$E$42/12</f>
        <v>-449722.70468710357</v>
      </c>
      <c r="AC16" s="105">
        <f>'FC - BT Inversionista'!$E$42/12</f>
        <v>-449722.70468710357</v>
      </c>
      <c r="AD16" s="105">
        <f>'FC - BT Inversionista'!$E$42/12</f>
        <v>-449722.70468710357</v>
      </c>
      <c r="AE16" s="105">
        <f>'FC - BT Inversionista'!$F$42/12</f>
        <v>-457015.58902440005</v>
      </c>
      <c r="AF16" s="105">
        <f>'FC - BT Inversionista'!$F$42/12</f>
        <v>-457015.58902440005</v>
      </c>
      <c r="AG16" s="105">
        <f>'FC - BT Inversionista'!$F$42/12</f>
        <v>-457015.58902440005</v>
      </c>
      <c r="AH16" s="105">
        <f>'FC - BT Inversionista'!$F$42/12</f>
        <v>-457015.58902440005</v>
      </c>
      <c r="AI16" s="105">
        <f>'FC - BT Inversionista'!$F$42/12</f>
        <v>-457015.58902440005</v>
      </c>
      <c r="AJ16" s="105">
        <f>'FC - BT Inversionista'!$F$42/12</f>
        <v>-457015.58902440005</v>
      </c>
      <c r="AK16" s="105">
        <f>'FC - BT Inversionista'!$F$42/12</f>
        <v>-457015.58902440005</v>
      </c>
      <c r="AL16" s="105">
        <f>'FC - BT Inversionista'!$F$42/12</f>
        <v>-457015.58902440005</v>
      </c>
      <c r="AM16" s="105">
        <f>'FC - BT Inversionista'!$F$42/12</f>
        <v>-457015.58902440005</v>
      </c>
      <c r="AN16" s="105">
        <f>'FC - BT Inversionista'!$F$42/12</f>
        <v>-457015.58902440005</v>
      </c>
      <c r="AO16" s="105">
        <f>'FC - BT Inversionista'!$F$42/12</f>
        <v>-457015.58902440005</v>
      </c>
      <c r="AP16" s="105">
        <f>'FC - BT Inversionista'!$F$42/12</f>
        <v>-457015.58902440005</v>
      </c>
      <c r="AQ16" s="105">
        <f>'FC - BT Inversionista'!$G$42/12</f>
        <v>-466780.09459659836</v>
      </c>
      <c r="AR16" s="105">
        <f>'FC - BT Inversionista'!$G$42/12</f>
        <v>-466780.09459659836</v>
      </c>
      <c r="AS16" s="105">
        <f>'FC - BT Inversionista'!$G$42/12</f>
        <v>-466780.09459659836</v>
      </c>
      <c r="AT16" s="105">
        <f>'FC - BT Inversionista'!$G$42/12</f>
        <v>-466780.09459659836</v>
      </c>
      <c r="AU16" s="105">
        <f>'FC - BT Inversionista'!$G$42/12</f>
        <v>-466780.09459659836</v>
      </c>
      <c r="AV16" s="105">
        <f>'FC - BT Inversionista'!$G$42/12</f>
        <v>-466780.09459659836</v>
      </c>
      <c r="AW16" s="105">
        <f>'FC - BT Inversionista'!$G$42/12</f>
        <v>-466780.09459659836</v>
      </c>
      <c r="AX16" s="105">
        <f>'FC - BT Inversionista'!$G$42/12</f>
        <v>-466780.09459659836</v>
      </c>
      <c r="AY16" s="105">
        <f>'FC - BT Inversionista'!$G$42/12</f>
        <v>-466780.09459659836</v>
      </c>
      <c r="AZ16" s="105">
        <f>'FC - BT Inversionista'!$G$42/12</f>
        <v>-466780.09459659836</v>
      </c>
      <c r="BA16" s="105">
        <f>'FC - BT Inversionista'!$G$42/12</f>
        <v>-466780.09459659836</v>
      </c>
      <c r="BB16" s="105">
        <f>'FC - BT Inversionista'!$G$42/12</f>
        <v>-466780.09459659836</v>
      </c>
      <c r="BC16" s="105">
        <f>'FC - BT Inversionista'!$H$42/12</f>
        <v>-502313.30168094323</v>
      </c>
      <c r="BD16" s="105">
        <f>'FC - BT Inversionista'!$H$42/12</f>
        <v>-502313.30168094323</v>
      </c>
      <c r="BE16" s="105">
        <f>'FC - BT Inversionista'!$H$42/12</f>
        <v>-502313.30168094323</v>
      </c>
      <c r="BF16" s="105">
        <f>'FC - BT Inversionista'!$H$42/12</f>
        <v>-502313.30168094323</v>
      </c>
      <c r="BG16" s="105">
        <f>'FC - BT Inversionista'!$H$42/12</f>
        <v>-502313.30168094323</v>
      </c>
      <c r="BH16" s="105">
        <f>'FC - BT Inversionista'!$H$42/12</f>
        <v>-502313.30168094323</v>
      </c>
      <c r="BI16" s="105">
        <f>'FC - BT Inversionista'!$H$42/12</f>
        <v>-502313.30168094323</v>
      </c>
      <c r="BJ16" s="105">
        <f>'FC - BT Inversionista'!$H$42/12</f>
        <v>-502313.30168094323</v>
      </c>
      <c r="BK16" s="105">
        <f>'FC - BT Inversionista'!$H$42/12</f>
        <v>-502313.30168094323</v>
      </c>
      <c r="BL16" s="105">
        <f>'FC - BT Inversionista'!$H$42/12</f>
        <v>-502313.30168094323</v>
      </c>
      <c r="BM16" s="105">
        <f>'FC - BT Inversionista'!$H$42/12</f>
        <v>-502313.30168094323</v>
      </c>
      <c r="BN16" s="105">
        <f>'FC - BT Inversionista'!$H$42/12</f>
        <v>-502313.30168094323</v>
      </c>
      <c r="BO16" s="105">
        <f>'FC - BT Inversionista'!$I$42/12</f>
        <v>-550601.55228543968</v>
      </c>
      <c r="BP16" s="105">
        <f>'FC - BT Inversionista'!$I$42/12</f>
        <v>-550601.55228543968</v>
      </c>
      <c r="BQ16" s="105">
        <f>'FC - BT Inversionista'!$I$42/12</f>
        <v>-550601.55228543968</v>
      </c>
      <c r="BR16" s="105">
        <f>'FC - BT Inversionista'!$I$42/12</f>
        <v>-550601.55228543968</v>
      </c>
      <c r="BS16" s="105">
        <f>'FC - BT Inversionista'!$I$42/12</f>
        <v>-550601.55228543968</v>
      </c>
      <c r="BT16" s="105">
        <f>'FC - BT Inversionista'!$I$42/12</f>
        <v>-550601.55228543968</v>
      </c>
      <c r="BU16" s="105">
        <f>'FC - BT Inversionista'!$I$42/12</f>
        <v>-550601.55228543968</v>
      </c>
      <c r="BV16" s="105">
        <f>'FC - BT Inversionista'!$I$42/12</f>
        <v>-550601.55228543968</v>
      </c>
      <c r="BW16" s="105">
        <f>'FC - BT Inversionista'!$I$42/12</f>
        <v>-550601.55228543968</v>
      </c>
      <c r="BX16" s="105">
        <f>'FC - BT Inversionista'!$I$42/12</f>
        <v>-550601.55228543968</v>
      </c>
      <c r="BY16" s="105">
        <f>'FC - BT Inversionista'!$I$42/12</f>
        <v>-550601.55228543968</v>
      </c>
      <c r="BZ16" s="105">
        <f>'FC - BT Inversionista'!$I$42/12</f>
        <v>-550601.55228543968</v>
      </c>
      <c r="CA16" s="105"/>
      <c r="CB16" s="105"/>
      <c r="CC16" s="105"/>
      <c r="CD16" s="105"/>
      <c r="CE16" s="105"/>
      <c r="CF16" s="105"/>
      <c r="CG16" s="105"/>
      <c r="CH16" s="105"/>
      <c r="CI16" s="105"/>
      <c r="CJ16" s="105"/>
      <c r="CK16" s="105"/>
      <c r="CL16" s="105"/>
      <c r="CM16" s="105"/>
      <c r="CN16" s="105"/>
      <c r="CO16" s="105"/>
      <c r="CP16" s="105"/>
      <c r="CQ16" s="105"/>
      <c r="CR16" s="105"/>
      <c r="CS16" s="105"/>
      <c r="CT16" s="105"/>
      <c r="CU16" s="105"/>
      <c r="CV16" s="105"/>
      <c r="CW16" s="105"/>
      <c r="CX16" s="105"/>
      <c r="CY16" s="105"/>
      <c r="CZ16" s="105"/>
      <c r="DA16" s="105"/>
      <c r="DB16" s="105"/>
      <c r="DC16" s="105"/>
      <c r="DD16" s="105"/>
      <c r="DE16" s="105"/>
      <c r="DF16" s="105"/>
      <c r="DG16" s="105"/>
      <c r="DH16" s="105"/>
      <c r="DI16" s="105"/>
      <c r="DJ16" s="105"/>
      <c r="DK16" s="105"/>
      <c r="DL16" s="105"/>
      <c r="DM16" s="105"/>
      <c r="DN16" s="105"/>
      <c r="DO16" s="105"/>
      <c r="DP16" s="105"/>
      <c r="DQ16" s="105"/>
      <c r="DR16" s="105"/>
      <c r="DS16" s="105"/>
      <c r="DT16" s="105"/>
      <c r="DU16" s="105"/>
      <c r="DV16" s="105"/>
      <c r="DW16" s="105"/>
      <c r="DX16" s="105"/>
      <c r="DY16" s="105"/>
    </row>
    <row r="17" spans="2:129" s="100" customFormat="1" ht="16" customHeight="1" x14ac:dyDescent="0.45">
      <c r="B17" s="101" t="s">
        <v>137</v>
      </c>
      <c r="C17" s="111"/>
      <c r="D17" s="111"/>
      <c r="E17" s="111"/>
      <c r="F17" s="111"/>
      <c r="G17" s="111"/>
      <c r="H17" s="111"/>
      <c r="I17" s="111"/>
      <c r="J17" s="111"/>
      <c r="K17" s="111">
        <f>SUM(K12:K16)</f>
        <v>67418502.826666653</v>
      </c>
      <c r="L17" s="111">
        <f t="shared" ref="L17:S17" si="57">SUM(L12:L16)</f>
        <v>67418502.826666653</v>
      </c>
      <c r="M17" s="111">
        <f t="shared" si="57"/>
        <v>67418502.826666653</v>
      </c>
      <c r="N17" s="111">
        <f t="shared" si="57"/>
        <v>67418502.826666653</v>
      </c>
      <c r="O17" s="111">
        <f t="shared" si="57"/>
        <v>67418502.826666653</v>
      </c>
      <c r="P17" s="111">
        <f t="shared" si="57"/>
        <v>67418502.826666653</v>
      </c>
      <c r="Q17" s="111">
        <f t="shared" si="57"/>
        <v>67418502.826666653</v>
      </c>
      <c r="R17" s="111">
        <f t="shared" si="57"/>
        <v>67418502.826666653</v>
      </c>
      <c r="S17" s="111">
        <f t="shared" si="57"/>
        <v>67038170.524772689</v>
      </c>
      <c r="T17" s="111">
        <f t="shared" ref="T17" si="58">SUM(T12:T16)</f>
        <v>67038170.524772689</v>
      </c>
      <c r="U17" s="111">
        <f t="shared" ref="U17" si="59">SUM(U12:U16)</f>
        <v>67038170.524772689</v>
      </c>
      <c r="V17" s="111">
        <f t="shared" ref="V17" si="60">SUM(V12:V16)</f>
        <v>67038170.524772689</v>
      </c>
      <c r="W17" s="111">
        <f t="shared" ref="W17" si="61">SUM(W12:W16)</f>
        <v>67038170.524772689</v>
      </c>
      <c r="X17" s="111">
        <f t="shared" ref="X17" si="62">SUM(X12:X16)</f>
        <v>67038170.524772689</v>
      </c>
      <c r="Y17" s="111">
        <f t="shared" ref="Y17" si="63">SUM(Y12:Y16)</f>
        <v>67038170.524772689</v>
      </c>
      <c r="Z17" s="111">
        <f t="shared" ref="Z17" si="64">SUM(Z12:Z16)</f>
        <v>67038170.524772689</v>
      </c>
      <c r="AA17" s="111">
        <f t="shared" ref="AA17" si="65">SUM(AA12:AA16)</f>
        <v>67038170.524772689</v>
      </c>
      <c r="AB17" s="111">
        <f t="shared" ref="AB17" si="66">SUM(AB12:AB16)</f>
        <v>67038170.524772689</v>
      </c>
      <c r="AC17" s="111">
        <f t="shared" ref="AC17" si="67">SUM(AC12:AC16)</f>
        <v>67038170.524772689</v>
      </c>
      <c r="AD17" s="111">
        <f t="shared" ref="AD17:AE17" si="68">SUM(AD12:AD16)</f>
        <v>67038170.524772689</v>
      </c>
      <c r="AE17" s="111">
        <f t="shared" si="68"/>
        <v>67710621.363715261</v>
      </c>
      <c r="AF17" s="111">
        <f t="shared" ref="AF17" si="69">SUM(AF12:AF16)</f>
        <v>67710621.363715261</v>
      </c>
      <c r="AG17" s="111">
        <f t="shared" ref="AG17" si="70">SUM(AG12:AG16)</f>
        <v>67710621.363715261</v>
      </c>
      <c r="AH17" s="111">
        <f t="shared" ref="AH17" si="71">SUM(AH12:AH16)</f>
        <v>67710621.363715261</v>
      </c>
      <c r="AI17" s="111">
        <f t="shared" ref="AI17" si="72">SUM(AI12:AI16)</f>
        <v>67710621.363715261</v>
      </c>
      <c r="AJ17" s="111">
        <f t="shared" ref="AJ17" si="73">SUM(AJ12:AJ16)</f>
        <v>67710621.363715261</v>
      </c>
      <c r="AK17" s="111">
        <f t="shared" ref="AK17" si="74">SUM(AK12:AK16)</f>
        <v>67710621.363715261</v>
      </c>
      <c r="AL17" s="111">
        <f t="shared" ref="AL17" si="75">SUM(AL12:AL16)</f>
        <v>67710621.363715261</v>
      </c>
      <c r="AM17" s="111">
        <f t="shared" ref="AM17" si="76">SUM(AM12:AM16)</f>
        <v>67710621.363715261</v>
      </c>
      <c r="AN17" s="111">
        <f t="shared" ref="AN17" si="77">SUM(AN12:AN16)</f>
        <v>67710621.363715261</v>
      </c>
      <c r="AO17" s="111">
        <f t="shared" ref="AO17" si="78">SUM(AO12:AO16)</f>
        <v>67710621.363715261</v>
      </c>
      <c r="AP17" s="111">
        <f t="shared" ref="AP17:AQ17" si="79">SUM(AP12:AP16)</f>
        <v>67710621.363715261</v>
      </c>
      <c r="AQ17" s="111">
        <f t="shared" si="79"/>
        <v>68935244.060142249</v>
      </c>
      <c r="AR17" s="111">
        <f t="shared" ref="AR17" si="80">SUM(AR12:AR16)</f>
        <v>68935244.060142249</v>
      </c>
      <c r="AS17" s="111">
        <f t="shared" ref="AS17" si="81">SUM(AS12:AS16)</f>
        <v>68935244.060142249</v>
      </c>
      <c r="AT17" s="111">
        <f t="shared" ref="AT17" si="82">SUM(AT12:AT16)</f>
        <v>68935244.060142249</v>
      </c>
      <c r="AU17" s="111">
        <f t="shared" ref="AU17" si="83">SUM(AU12:AU16)</f>
        <v>68935244.060142249</v>
      </c>
      <c r="AV17" s="111">
        <f t="shared" ref="AV17" si="84">SUM(AV12:AV16)</f>
        <v>68935244.060142249</v>
      </c>
      <c r="AW17" s="111">
        <f t="shared" ref="AW17" si="85">SUM(AW12:AW16)</f>
        <v>68935244.060142249</v>
      </c>
      <c r="AX17" s="111">
        <f t="shared" ref="AX17" si="86">SUM(AX12:AX16)</f>
        <v>68935244.060142249</v>
      </c>
      <c r="AY17" s="111">
        <f t="shared" ref="AY17" si="87">SUM(AY12:AY16)</f>
        <v>68935244.060142249</v>
      </c>
      <c r="AZ17" s="111">
        <f t="shared" ref="AZ17" si="88">SUM(AZ12:AZ16)</f>
        <v>68935244.060142249</v>
      </c>
      <c r="BA17" s="111">
        <f t="shared" ref="BA17" si="89">SUM(BA12:BA16)</f>
        <v>68935244.060142249</v>
      </c>
      <c r="BB17" s="111">
        <f t="shared" ref="BB17:BC17" si="90">SUM(BB12:BB16)</f>
        <v>68935244.060142249</v>
      </c>
      <c r="BC17" s="111">
        <f t="shared" si="90"/>
        <v>74409582.670789793</v>
      </c>
      <c r="BD17" s="111">
        <f t="shared" ref="BD17" si="91">SUM(BD12:BD16)</f>
        <v>74409582.670789793</v>
      </c>
      <c r="BE17" s="111">
        <f t="shared" ref="BE17" si="92">SUM(BE12:BE16)</f>
        <v>74409582.670789793</v>
      </c>
      <c r="BF17" s="111">
        <f t="shared" ref="BF17" si="93">SUM(BF12:BF16)</f>
        <v>74409582.670789793</v>
      </c>
      <c r="BG17" s="111">
        <f t="shared" ref="BG17" si="94">SUM(BG12:BG16)</f>
        <v>74409582.670789793</v>
      </c>
      <c r="BH17" s="111">
        <f t="shared" ref="BH17" si="95">SUM(BH12:BH16)</f>
        <v>74409582.670789793</v>
      </c>
      <c r="BI17" s="111">
        <f t="shared" ref="BI17" si="96">SUM(BI12:BI16)</f>
        <v>74409582.670789793</v>
      </c>
      <c r="BJ17" s="111">
        <f t="shared" ref="BJ17" si="97">SUM(BJ12:BJ16)</f>
        <v>74409582.670789793</v>
      </c>
      <c r="BK17" s="111">
        <f t="shared" ref="BK17" si="98">SUM(BK12:BK16)</f>
        <v>74409582.670789793</v>
      </c>
      <c r="BL17" s="111">
        <f t="shared" ref="BL17" si="99">SUM(BL12:BL16)</f>
        <v>74409582.670789793</v>
      </c>
      <c r="BM17" s="111">
        <f t="shared" ref="BM17" si="100">SUM(BM12:BM16)</f>
        <v>74409582.670789793</v>
      </c>
      <c r="BN17" s="111">
        <f t="shared" ref="BN17" si="101">SUM(BN12:BN16)</f>
        <v>74409582.670789793</v>
      </c>
      <c r="BO17" s="111">
        <f t="shared" ref="BO17" si="102">SUM(BO12:BO16)</f>
        <v>81976760.534004927</v>
      </c>
      <c r="BP17" s="111">
        <f t="shared" ref="BP17" si="103">SUM(BP12:BP16)</f>
        <v>81976760.534004927</v>
      </c>
      <c r="BQ17" s="111">
        <f t="shared" ref="BQ17" si="104">SUM(BQ12:BQ16)</f>
        <v>81976760.534004927</v>
      </c>
      <c r="BR17" s="111">
        <f t="shared" ref="BR17" si="105">SUM(BR12:BR16)</f>
        <v>81976760.534004927</v>
      </c>
      <c r="BS17" s="111">
        <f t="shared" ref="BS17" si="106">SUM(BS12:BS16)</f>
        <v>81976760.534004927</v>
      </c>
      <c r="BT17" s="111">
        <f t="shared" ref="BT17" si="107">SUM(BT12:BT16)</f>
        <v>81976760.534004927</v>
      </c>
      <c r="BU17" s="111">
        <f t="shared" ref="BU17" si="108">SUM(BU12:BU16)</f>
        <v>81976760.534004927</v>
      </c>
      <c r="BV17" s="111">
        <f t="shared" ref="BV17" si="109">SUM(BV12:BV16)</f>
        <v>81976760.534004927</v>
      </c>
      <c r="BW17" s="111">
        <f t="shared" ref="BW17" si="110">SUM(BW12:BW16)</f>
        <v>81976760.534004927</v>
      </c>
      <c r="BX17" s="111">
        <f t="shared" ref="BX17" si="111">SUM(BX12:BX16)</f>
        <v>81976760.534004927</v>
      </c>
      <c r="BY17" s="111">
        <f t="shared" ref="BY17" si="112">SUM(BY12:BY16)</f>
        <v>81976760.534004927</v>
      </c>
      <c r="BZ17" s="111">
        <f t="shared" ref="BZ17" si="113">SUM(BZ12:BZ16)</f>
        <v>81976760.534004927</v>
      </c>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row>
    <row r="18" spans="2:129" s="103" customFormat="1" ht="16" customHeight="1" x14ac:dyDescent="0.45">
      <c r="B18" s="86" t="s">
        <v>115</v>
      </c>
      <c r="C18" s="105"/>
      <c r="D18" s="105"/>
      <c r="E18" s="105"/>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c r="AX18" s="105"/>
      <c r="AY18" s="105"/>
      <c r="AZ18" s="105"/>
      <c r="BA18" s="105"/>
      <c r="BB18" s="105"/>
      <c r="BC18" s="105"/>
      <c r="BD18" s="105"/>
      <c r="BE18" s="105"/>
      <c r="BF18" s="105"/>
      <c r="BG18" s="105"/>
      <c r="BH18" s="105"/>
      <c r="BI18" s="105"/>
      <c r="BJ18" s="105"/>
      <c r="BK18" s="105"/>
      <c r="BL18" s="105"/>
      <c r="BM18" s="105"/>
      <c r="BN18" s="105"/>
      <c r="BO18" s="105"/>
      <c r="BP18" s="105"/>
      <c r="BQ18" s="105"/>
      <c r="BR18" s="105"/>
      <c r="BS18" s="105"/>
      <c r="BT18" s="105"/>
      <c r="BU18" s="105"/>
      <c r="BV18" s="105"/>
      <c r="BW18" s="105"/>
      <c r="BX18" s="105"/>
      <c r="BY18" s="105"/>
      <c r="BZ18" s="105"/>
      <c r="CA18" s="105"/>
      <c r="CB18" s="105"/>
      <c r="CC18" s="105"/>
      <c r="CD18" s="105"/>
      <c r="CE18" s="105"/>
      <c r="CF18" s="105"/>
      <c r="CG18" s="105"/>
      <c r="CH18" s="105"/>
      <c r="CI18" s="105"/>
      <c r="CJ18" s="105"/>
      <c r="CK18" s="105"/>
      <c r="CL18" s="105"/>
      <c r="CM18" s="105"/>
      <c r="CN18" s="105"/>
      <c r="CO18" s="105"/>
      <c r="CP18" s="105"/>
      <c r="CQ18" s="105"/>
      <c r="CR18" s="105"/>
      <c r="CS18" s="105"/>
      <c r="CT18" s="105"/>
      <c r="CU18" s="105"/>
      <c r="CV18" s="105"/>
      <c r="CW18" s="105"/>
      <c r="CX18" s="105"/>
      <c r="CY18" s="105"/>
      <c r="CZ18" s="105"/>
      <c r="DA18" s="105"/>
      <c r="DB18" s="105"/>
      <c r="DC18" s="105"/>
      <c r="DD18" s="105"/>
      <c r="DE18" s="105"/>
      <c r="DF18" s="105"/>
      <c r="DG18" s="105"/>
      <c r="DH18" s="105"/>
      <c r="DI18" s="105"/>
      <c r="DJ18" s="105"/>
      <c r="DK18" s="105"/>
      <c r="DL18" s="105"/>
      <c r="DM18" s="105"/>
      <c r="DN18" s="105"/>
      <c r="DO18" s="105"/>
      <c r="DP18" s="105"/>
      <c r="DQ18" s="105"/>
      <c r="DR18" s="105"/>
      <c r="DS18" s="105"/>
      <c r="DT18" s="105"/>
      <c r="DU18" s="105"/>
      <c r="DV18" s="105"/>
      <c r="DW18" s="105"/>
      <c r="DX18" s="105"/>
      <c r="DY18" s="105"/>
    </row>
    <row r="19" spans="2:129" s="100" customFormat="1" ht="16" customHeight="1" x14ac:dyDescent="0.45">
      <c r="B19" s="86" t="s">
        <v>116</v>
      </c>
      <c r="C19" s="111">
        <f>'FC - BT Inversionista'!C60</f>
        <v>-4020000000</v>
      </c>
      <c r="D19" s="111"/>
      <c r="E19" s="111"/>
      <c r="F19" s="111"/>
      <c r="G19" s="111"/>
      <c r="H19" s="111"/>
      <c r="I19" s="111"/>
      <c r="J19" s="111"/>
      <c r="K19" s="111"/>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row>
    <row r="20" spans="2:129" s="103" customFormat="1" ht="16" customHeight="1" x14ac:dyDescent="0.45">
      <c r="B20" s="86" t="s">
        <v>118</v>
      </c>
      <c r="C20" s="112">
        <f>'FC - BT Inversionista'!C62</f>
        <v>2814000000</v>
      </c>
      <c r="D20" s="112"/>
      <c r="E20" s="112"/>
      <c r="F20" s="112"/>
      <c r="G20" s="112"/>
      <c r="H20" s="112"/>
      <c r="I20" s="112"/>
      <c r="J20" s="112"/>
      <c r="K20" s="112"/>
      <c r="L20" s="112"/>
      <c r="M20" s="112"/>
      <c r="N20" s="112"/>
      <c r="O20" s="112"/>
      <c r="P20" s="112"/>
      <c r="Q20" s="112"/>
      <c r="R20" s="112"/>
      <c r="S20" s="112"/>
      <c r="T20" s="112"/>
      <c r="U20" s="112"/>
      <c r="V20" s="112"/>
      <c r="W20" s="112"/>
      <c r="X20" s="112"/>
      <c r="Y20" s="112"/>
      <c r="Z20" s="112"/>
      <c r="AA20" s="112"/>
      <c r="AB20" s="112"/>
      <c r="AC20" s="112"/>
      <c r="AD20" s="112"/>
      <c r="AE20" s="112"/>
      <c r="AF20" s="112"/>
      <c r="AG20" s="112"/>
      <c r="AH20" s="112"/>
      <c r="AI20" s="112"/>
      <c r="AJ20" s="112"/>
      <c r="AK20" s="112"/>
      <c r="AL20" s="112"/>
      <c r="AM20" s="112"/>
      <c r="AN20" s="112"/>
      <c r="AO20" s="112"/>
      <c r="AP20" s="112"/>
      <c r="AQ20" s="112"/>
      <c r="AR20" s="112"/>
      <c r="AS20" s="112"/>
      <c r="AT20" s="112"/>
      <c r="AU20" s="112"/>
      <c r="AV20" s="112"/>
      <c r="AW20" s="112"/>
      <c r="AX20" s="112"/>
      <c r="AY20" s="112"/>
      <c r="AZ20" s="112"/>
      <c r="BA20" s="112"/>
      <c r="BB20" s="112"/>
      <c r="BC20" s="112"/>
      <c r="BD20" s="112"/>
      <c r="BE20" s="112"/>
      <c r="BF20" s="112"/>
      <c r="BG20" s="112"/>
      <c r="BH20" s="112"/>
      <c r="BI20" s="112"/>
      <c r="BJ20" s="112"/>
      <c r="BK20" s="112"/>
      <c r="BL20" s="112"/>
      <c r="BM20" s="112"/>
      <c r="BN20" s="112"/>
      <c r="BO20" s="112"/>
      <c r="BP20" s="112"/>
      <c r="BQ20" s="112"/>
      <c r="BR20" s="112"/>
      <c r="BS20" s="112"/>
      <c r="BT20" s="112"/>
      <c r="BU20" s="112"/>
      <c r="BV20" s="112"/>
      <c r="BW20" s="112"/>
      <c r="BX20" s="112"/>
      <c r="BY20" s="112"/>
      <c r="BZ20" s="112"/>
      <c r="CA20" s="112"/>
      <c r="CB20" s="112"/>
      <c r="CC20" s="112"/>
      <c r="CD20" s="112"/>
      <c r="CE20" s="112"/>
      <c r="CF20" s="112"/>
      <c r="CG20" s="112"/>
      <c r="CH20" s="112"/>
      <c r="CI20" s="112"/>
      <c r="CJ20" s="112"/>
      <c r="CK20" s="112"/>
      <c r="CL20" s="112"/>
      <c r="CM20" s="112"/>
      <c r="CN20" s="112"/>
      <c r="CO20" s="112"/>
      <c r="CP20" s="112"/>
      <c r="CQ20" s="112"/>
      <c r="CR20" s="112"/>
      <c r="CS20" s="112"/>
      <c r="CT20" s="112"/>
      <c r="CU20" s="112"/>
      <c r="CV20" s="112"/>
      <c r="CW20" s="112"/>
      <c r="CX20" s="112"/>
      <c r="CY20" s="112"/>
      <c r="CZ20" s="112"/>
      <c r="DA20" s="112"/>
      <c r="DB20" s="112"/>
      <c r="DC20" s="112"/>
      <c r="DD20" s="112"/>
      <c r="DE20" s="112"/>
      <c r="DF20" s="112"/>
      <c r="DG20" s="112"/>
      <c r="DH20" s="112"/>
      <c r="DI20" s="112"/>
      <c r="DJ20" s="112"/>
      <c r="DK20" s="112"/>
      <c r="DL20" s="112"/>
      <c r="DM20" s="112"/>
      <c r="DN20" s="112"/>
      <c r="DO20" s="112"/>
      <c r="DP20" s="112"/>
      <c r="DQ20" s="112"/>
      <c r="DR20" s="112"/>
      <c r="DS20" s="112"/>
      <c r="DT20" s="112"/>
      <c r="DU20" s="112"/>
      <c r="DV20" s="112"/>
      <c r="DW20" s="112"/>
      <c r="DX20" s="112"/>
      <c r="DY20" s="112"/>
    </row>
    <row r="21" spans="2:129" s="103" customFormat="1" ht="16" customHeight="1" x14ac:dyDescent="0.45">
      <c r="B21" s="86" t="s">
        <v>51</v>
      </c>
      <c r="C21" s="248"/>
      <c r="D21" s="248">
        <f>-Amortizaciones!B20</f>
        <v>0</v>
      </c>
      <c r="E21" s="248">
        <f>-Amortizaciones!C20</f>
        <v>0</v>
      </c>
      <c r="F21" s="248">
        <f>-Amortizaciones!D20</f>
        <v>0</v>
      </c>
      <c r="G21" s="248">
        <f>-Amortizaciones!E20</f>
        <v>0</v>
      </c>
      <c r="H21" s="248">
        <f>-Amortizaciones!F20</f>
        <v>0</v>
      </c>
      <c r="I21" s="248">
        <f>-Amortizaciones!G20</f>
        <v>0</v>
      </c>
      <c r="J21" s="248">
        <f>-Amortizaciones!H20</f>
        <v>0</v>
      </c>
      <c r="K21" s="248">
        <f>-Amortizaciones!I20</f>
        <v>0</v>
      </c>
      <c r="L21" s="248">
        <f>-Amortizaciones!J20</f>
        <v>0</v>
      </c>
      <c r="M21" s="248">
        <f>-Amortizaciones!K20</f>
        <v>0</v>
      </c>
      <c r="N21" s="248">
        <f>-Amortizaciones!L20</f>
        <v>0</v>
      </c>
      <c r="O21" s="248">
        <f>-Amortizaciones!M20</f>
        <v>0</v>
      </c>
      <c r="P21" s="248">
        <f>-Amortizaciones!N20</f>
        <v>0</v>
      </c>
      <c r="Q21" s="248">
        <f>-Amortizaciones!O20</f>
        <v>-23055425.014953475</v>
      </c>
      <c r="R21" s="248">
        <f>-Amortizaciones!P20</f>
        <v>-23225140.636939317</v>
      </c>
      <c r="S21" s="248">
        <f>-Amortizaciones!Q20</f>
        <v>-23396105.569763154</v>
      </c>
      <c r="T21" s="248">
        <f>-Amortizaciones!R20</f>
        <v>-23568329.009853426</v>
      </c>
      <c r="U21" s="248">
        <f>-Amortizaciones!S20</f>
        <v>-23741820.22133531</v>
      </c>
      <c r="V21" s="248">
        <f>-Amortizaciones!T20</f>
        <v>-23916588.536529075</v>
      </c>
      <c r="W21" s="248">
        <f>-Amortizaciones!U20</f>
        <v>-24092643.3564521</v>
      </c>
      <c r="X21" s="248">
        <f>-Amortizaciones!V20</f>
        <v>-24269994.151324514</v>
      </c>
      <c r="Y21" s="248">
        <f>-Amortizaciones!W20</f>
        <v>-24448650.461078629</v>
      </c>
      <c r="Z21" s="248">
        <f>-Amortizaciones!X20</f>
        <v>-24628621.895872176</v>
      </c>
      <c r="AA21" s="248">
        <f>-Amortizaciones!Y20</f>
        <v>-24809918.13660514</v>
      </c>
      <c r="AB21" s="248">
        <f>-Amortizaciones!Z20</f>
        <v>-24992548.935440574</v>
      </c>
      <c r="AC21" s="248">
        <f>-Amortizaciones!AA20</f>
        <v>-25176524.116329178</v>
      </c>
      <c r="AD21" s="248">
        <f>-Amortizaciones!AB20</f>
        <v>-25361853.575537715</v>
      </c>
      <c r="AE21" s="248">
        <f>-Amortizaciones!AC20</f>
        <v>-25548547.282181349</v>
      </c>
      <c r="AF21" s="248">
        <f>-Amortizaciones!AD20</f>
        <v>-25736615.278759919</v>
      </c>
      <c r="AG21" s="248">
        <f>-Amortizaciones!AE20</f>
        <v>-25926067.681698143</v>
      </c>
      <c r="AH21" s="248">
        <f>-Amortizaciones!AF20</f>
        <v>-26116914.681889735</v>
      </c>
      <c r="AI21" s="248">
        <f>-Amortizaciones!AG20</f>
        <v>-26309166.545245677</v>
      </c>
      <c r="AJ21" s="248">
        <f>-Amortizaciones!AH20</f>
        <v>-26502833.613246351</v>
      </c>
      <c r="AK21" s="248">
        <f>-Amortizaciones!AI20</f>
        <v>-26697926.303497851</v>
      </c>
      <c r="AL21" s="248">
        <f>-Amortizaciones!AJ20</f>
        <v>-26894455.110292412</v>
      </c>
      <c r="AM21" s="248">
        <f>-Amortizaciones!AK20</f>
        <v>-27092430.605172805</v>
      </c>
      <c r="AN21" s="248">
        <f>-Amortizaciones!AL20</f>
        <v>-27291863.437501106</v>
      </c>
      <c r="AO21" s="248">
        <f>-Amortizaciones!AM20</f>
        <v>-27492764.335031454</v>
      </c>
      <c r="AP21" s="248">
        <f>-Amortizaciones!AN20</f>
        <v>-27695144.104487166</v>
      </c>
      <c r="AQ21" s="248">
        <f>-Amortizaciones!AO20</f>
        <v>-27899013.632142015</v>
      </c>
      <c r="AR21" s="248">
        <f>-Amortizaciones!AP20</f>
        <v>-28104383.884405822</v>
      </c>
      <c r="AS21" s="248">
        <f>-Amortizaciones!AQ20</f>
        <v>-28311265.908414356</v>
      </c>
      <c r="AT21" s="248">
        <f>-Amortizaciones!AR20</f>
        <v>-28519670.832623582</v>
      </c>
      <c r="AU21" s="248">
        <f>-Amortizaciones!AS20</f>
        <v>-28729609.867408272</v>
      </c>
      <c r="AV21" s="248">
        <f>-Amortizaciones!AT20</f>
        <v>-28941094.305664994</v>
      </c>
      <c r="AW21" s="248">
        <f>-Amortizaciones!AU20</f>
        <v>-29154135.523419637</v>
      </c>
      <c r="AX21" s="248">
        <f>-Amortizaciones!AV20</f>
        <v>-29368744.98043929</v>
      </c>
      <c r="AY21" s="248">
        <f>-Amortizaciones!AW20</f>
        <v>-29584934.220848694</v>
      </c>
      <c r="AZ21" s="248">
        <f>-Amortizaciones!AX20</f>
        <v>-29802714.87375119</v>
      </c>
      <c r="BA21" s="248">
        <f>-Amortizaciones!AY20</f>
        <v>-30022098.653854344</v>
      </c>
      <c r="BB21" s="248">
        <f>-Amortizaciones!AZ20</f>
        <v>-30243097.362099983</v>
      </c>
      <c r="BC21" s="248">
        <f>-Amortizaciones!BA20</f>
        <v>-30465722.886299081</v>
      </c>
      <c r="BD21" s="248">
        <f>-Amortizaciones!BB20</f>
        <v>-30689987.201771155</v>
      </c>
      <c r="BE21" s="248">
        <f>-Amortizaciones!BC20</f>
        <v>-30915902.371988468</v>
      </c>
      <c r="BF21" s="248">
        <f>-Amortizaciones!BD20</f>
        <v>-31143480.549224943</v>
      </c>
      <c r="BG21" s="248">
        <f>-Amortizaciones!BE20</f>
        <v>-31372733.975209817</v>
      </c>
      <c r="BH21" s="248">
        <f>-Amortizaciones!BF20</f>
        <v>-31603674.981786162</v>
      </c>
      <c r="BI21" s="248">
        <f>-Amortizaciones!BG20</f>
        <v>-31836315.991574243</v>
      </c>
      <c r="BJ21" s="248">
        <f>-Amortizaciones!BH20</f>
        <v>-32070669.518639691</v>
      </c>
      <c r="BK21" s="248">
        <f>-Amortizaciones!BI20</f>
        <v>-32306748.169166747</v>
      </c>
      <c r="BL21" s="248">
        <f>-Amortizaciones!BJ20</f>
        <v>-32544564.642136283</v>
      </c>
      <c r="BM21" s="248">
        <f>-Amortizaciones!BK20</f>
        <v>-32784131.730008919</v>
      </c>
      <c r="BN21" s="248">
        <f>-Amortizaciones!BL20</f>
        <v>-33025462.319413166</v>
      </c>
      <c r="BO21" s="248">
        <f>-Amortizaciones!BM20</f>
        <v>-33268569.391838577</v>
      </c>
      <c r="BP21" s="248">
        <f>-Amortizaciones!BN20</f>
        <v>-33513466.024334081</v>
      </c>
      <c r="BQ21" s="248">
        <f>-Amortizaciones!BO20</f>
        <v>-33760165.390211388</v>
      </c>
      <c r="BR21" s="248">
        <f>-Amortizaciones!BP20</f>
        <v>-34008680.759753615</v>
      </c>
      <c r="BS21" s="248">
        <f>-Amortizaciones!BQ20</f>
        <v>-34259025.500929102</v>
      </c>
      <c r="BT21" s="248">
        <f>-Amortizaciones!BR20</f>
        <v>-34511213.080110461</v>
      </c>
      <c r="BU21" s="248">
        <f>-Amortizaciones!BS20</f>
        <v>-34765257.062799044</v>
      </c>
      <c r="BV21" s="248">
        <f>-Amortizaciones!BT20</f>
        <v>-35021171.114354528</v>
      </c>
      <c r="BW21" s="248">
        <f>-Amortizaciones!BU20</f>
        <v>-35278969.000730067</v>
      </c>
      <c r="BX21" s="248">
        <f>-Amortizaciones!BV20</f>
        <v>-35538664.589212805</v>
      </c>
      <c r="BY21" s="248">
        <f>-Amortizaciones!BW20</f>
        <v>-35800271.849169731</v>
      </c>
      <c r="BZ21" s="248">
        <f>-Amortizaciones!BX20</f>
        <v>-36063804.852799155</v>
      </c>
      <c r="CA21" s="248"/>
      <c r="CB21" s="248"/>
      <c r="CC21" s="248"/>
      <c r="CD21" s="248"/>
      <c r="CE21" s="248"/>
      <c r="CF21" s="248"/>
      <c r="CG21" s="248"/>
      <c r="CH21" s="248"/>
      <c r="CI21" s="248"/>
      <c r="CJ21" s="248"/>
      <c r="CK21" s="248"/>
      <c r="CL21" s="248"/>
      <c r="CM21" s="248"/>
      <c r="CN21" s="248"/>
      <c r="CO21" s="248"/>
      <c r="CP21" s="248"/>
      <c r="CQ21" s="248"/>
      <c r="CR21" s="248"/>
      <c r="CS21" s="248"/>
      <c r="CT21" s="248"/>
      <c r="CU21" s="248"/>
      <c r="CV21" s="248"/>
      <c r="CW21" s="248"/>
      <c r="CX21" s="248"/>
      <c r="CY21" s="248"/>
      <c r="CZ21" s="248"/>
      <c r="DA21" s="248"/>
      <c r="DB21" s="248"/>
      <c r="DC21" s="248"/>
      <c r="DD21" s="248"/>
      <c r="DE21" s="248"/>
      <c r="DF21" s="248"/>
      <c r="DG21" s="248"/>
      <c r="DH21" s="248"/>
      <c r="DI21" s="248"/>
      <c r="DJ21" s="248"/>
      <c r="DK21" s="248"/>
      <c r="DL21" s="248"/>
      <c r="DM21" s="248"/>
      <c r="DN21" s="248"/>
      <c r="DO21" s="248"/>
      <c r="DP21" s="248"/>
      <c r="DQ21" s="248"/>
      <c r="DR21" s="248"/>
      <c r="DS21" s="248"/>
      <c r="DT21" s="248"/>
      <c r="DU21" s="248"/>
      <c r="DV21" s="248"/>
      <c r="DW21" s="248"/>
      <c r="DX21" s="248"/>
      <c r="DY21" s="248"/>
    </row>
    <row r="22" spans="2:129" s="103" customFormat="1" ht="16" customHeight="1" x14ac:dyDescent="0.45">
      <c r="B22" s="86" t="s">
        <v>54</v>
      </c>
      <c r="C22" s="248"/>
      <c r="D22" s="248">
        <f>-Amortizaciones!B21</f>
        <v>0</v>
      </c>
      <c r="E22" s="248">
        <f>-Amortizaciones!C21</f>
        <v>0</v>
      </c>
      <c r="F22" s="248">
        <f>-Amortizaciones!D21</f>
        <v>0</v>
      </c>
      <c r="G22" s="248">
        <f>-Amortizaciones!E21</f>
        <v>0</v>
      </c>
      <c r="H22" s="248">
        <f>-Amortizaciones!F21</f>
        <v>0</v>
      </c>
      <c r="I22" s="248">
        <f>-Amortizaciones!G21</f>
        <v>-27574727.248421889</v>
      </c>
      <c r="J22" s="248">
        <f>-Amortizaciones!H21</f>
        <v>-27574727.248421889</v>
      </c>
      <c r="K22" s="248">
        <f>-Amortizaciones!I21</f>
        <v>-27574727.248421889</v>
      </c>
      <c r="L22" s="248">
        <f>-Amortizaciones!J21</f>
        <v>-27574727.248421889</v>
      </c>
      <c r="M22" s="248">
        <f>-Amortizaciones!K21</f>
        <v>-27574727.248421889</v>
      </c>
      <c r="N22" s="248">
        <f>-Amortizaciones!L21</f>
        <v>-27574727.248421889</v>
      </c>
      <c r="O22" s="248">
        <f>-Amortizaciones!M21</f>
        <v>-27574727.248421889</v>
      </c>
      <c r="P22" s="248">
        <f>-Amortizaciones!N21</f>
        <v>-19323153.115757581</v>
      </c>
      <c r="Q22" s="248">
        <f>-Amortizaciones!O21</f>
        <v>-19323153.115757581</v>
      </c>
      <c r="R22" s="248">
        <f>-Amortizaciones!P21</f>
        <v>-19153437.493771747</v>
      </c>
      <c r="S22" s="248">
        <f>-Amortizaciones!Q21</f>
        <v>-18982472.560947903</v>
      </c>
      <c r="T22" s="248">
        <f>-Amortizaciones!R21</f>
        <v>-18810249.12085763</v>
      </c>
      <c r="U22" s="248">
        <f>-Amortizaciones!S21</f>
        <v>-18636757.909375746</v>
      </c>
      <c r="V22" s="248">
        <f>-Amortizaciones!T21</f>
        <v>-18461989.594181973</v>
      </c>
      <c r="W22" s="248">
        <f>-Amortizaciones!U21</f>
        <v>-18285934.774258956</v>
      </c>
      <c r="X22" s="248">
        <f>-Amortizaciones!V21</f>
        <v>-18108583.979386549</v>
      </c>
      <c r="Y22" s="248">
        <f>-Amortizaciones!W21</f>
        <v>-17929927.66963242</v>
      </c>
      <c r="Z22" s="248">
        <f>-Amortizaciones!X21</f>
        <v>-17749956.234838873</v>
      </c>
      <c r="AA22" s="248">
        <f>-Amortizaciones!Y21</f>
        <v>-17568659.994105909</v>
      </c>
      <c r="AB22" s="248">
        <f>-Amortizaciones!Z21</f>
        <v>-17386029.195270468</v>
      </c>
      <c r="AC22" s="248">
        <f>-Amortizaciones!AA21</f>
        <v>-17202054.014381863</v>
      </c>
      <c r="AD22" s="248">
        <f>-Amortizaciones!AB21</f>
        <v>-17016724.555173334</v>
      </c>
      <c r="AE22" s="248">
        <f>-Amortizaciones!AC21</f>
        <v>-16830030.8485297</v>
      </c>
      <c r="AF22" s="248">
        <f>-Amortizaciones!AD21</f>
        <v>-16641962.851951124</v>
      </c>
      <c r="AG22" s="248">
        <f>-Amortizaciones!AE21</f>
        <v>-16452510.449012905</v>
      </c>
      <c r="AH22" s="248">
        <f>-Amortizaciones!AF21</f>
        <v>-16261663.448821306</v>
      </c>
      <c r="AI22" s="248">
        <f>-Amortizaciones!AG21</f>
        <v>-16069411.585465372</v>
      </c>
      <c r="AJ22" s="248">
        <f>-Amortizaciones!AH21</f>
        <v>-15875744.517464705</v>
      </c>
      <c r="AK22" s="248">
        <f>-Amortizaciones!AI21</f>
        <v>-15680651.827213198</v>
      </c>
      <c r="AL22" s="248">
        <f>-Amortizaciones!AJ21</f>
        <v>-15484123.020418644</v>
      </c>
      <c r="AM22" s="248">
        <f>-Amortizaciones!AK21</f>
        <v>-15286147.525538245</v>
      </c>
      <c r="AN22" s="248">
        <f>-Amortizaciones!AL21</f>
        <v>-15086714.693209942</v>
      </c>
      <c r="AO22" s="248">
        <f>-Amortizaciones!AM21</f>
        <v>-14885813.795679588</v>
      </c>
      <c r="AP22" s="248">
        <f>-Amortizaciones!AN21</f>
        <v>-14683434.026223874</v>
      </c>
      <c r="AQ22" s="248">
        <f>-Amortizaciones!AO21</f>
        <v>-14479564.498569025</v>
      </c>
      <c r="AR22" s="248">
        <f>-Amortizaciones!AP21</f>
        <v>-14274194.24630522</v>
      </c>
      <c r="AS22" s="248">
        <f>-Amortizaciones!AQ21</f>
        <v>-14067312.222296685</v>
      </c>
      <c r="AT22" s="248">
        <f>-Amortizaciones!AR21</f>
        <v>-13858907.298087459</v>
      </c>
      <c r="AU22" s="248">
        <f>-Amortizaciones!AS21</f>
        <v>-13648968.263302777</v>
      </c>
      <c r="AV22" s="248">
        <f>-Amortizaciones!AT21</f>
        <v>-13437483.825046049</v>
      </c>
      <c r="AW22" s="248">
        <f>-Amortizaciones!AU21</f>
        <v>-13224442.607291404</v>
      </c>
      <c r="AX22" s="248">
        <f>-Amortizaciones!AV21</f>
        <v>-13009833.150271753</v>
      </c>
      <c r="AY22" s="248">
        <f>-Amortizaciones!AW21</f>
        <v>-12793643.909862356</v>
      </c>
      <c r="AZ22" s="248">
        <f>-Amortizaciones!AX21</f>
        <v>-12575863.256959852</v>
      </c>
      <c r="BA22" s="248">
        <f>-Amortizaciones!AY21</f>
        <v>-12356479.476856705</v>
      </c>
      <c r="BB22" s="248">
        <f>-Amortizaciones!AZ21</f>
        <v>-12135480.768611064</v>
      </c>
      <c r="BC22" s="248">
        <f>-Amortizaciones!BA21</f>
        <v>-11912855.24441197</v>
      </c>
      <c r="BD22" s="248">
        <f>-Amortizaciones!BB21</f>
        <v>-11688590.928939894</v>
      </c>
      <c r="BE22" s="248">
        <f>-Amortizaciones!BC21</f>
        <v>-11462675.758722574</v>
      </c>
      <c r="BF22" s="248">
        <f>-Amortizaciones!BD21</f>
        <v>-11235097.581486098</v>
      </c>
      <c r="BG22" s="248">
        <f>-Amortizaciones!BE21</f>
        <v>-11005844.155501226</v>
      </c>
      <c r="BH22" s="248">
        <f>-Amortizaciones!BF21</f>
        <v>-10774903.148924882</v>
      </c>
      <c r="BI22" s="248">
        <f>-Amortizaciones!BG21</f>
        <v>-10542262.139136808</v>
      </c>
      <c r="BJ22" s="248">
        <f>-Amortizaciones!BH21</f>
        <v>-10307908.612071348</v>
      </c>
      <c r="BK22" s="248">
        <f>-Amortizaciones!BI21</f>
        <v>-10071829.961544286</v>
      </c>
      <c r="BL22" s="248">
        <f>-Amortizaciones!BJ21</f>
        <v>-9834013.4885747507</v>
      </c>
      <c r="BM22" s="248">
        <f>-Amortizaciones!BK21</f>
        <v>-9594446.4007021151</v>
      </c>
      <c r="BN22" s="248">
        <f>-Amortizaciones!BL21</f>
        <v>-9353115.8112978749</v>
      </c>
      <c r="BO22" s="248">
        <f>-Amortizaciones!BM21</f>
        <v>-9110008.7388724647</v>
      </c>
      <c r="BP22" s="248">
        <f>-Amortizaciones!BN21</f>
        <v>-8865112.106376959</v>
      </c>
      <c r="BQ22" s="248">
        <f>-Amortizaciones!BO21</f>
        <v>-8618412.7404996455</v>
      </c>
      <c r="BR22" s="248">
        <f>-Amortizaciones!BP21</f>
        <v>-8369897.3709574146</v>
      </c>
      <c r="BS22" s="248">
        <f>-Amortizaciones!BQ21</f>
        <v>-8119552.6297819335</v>
      </c>
      <c r="BT22" s="248">
        <f>-Amortizaciones!BR21</f>
        <v>-7867365.0506005632</v>
      </c>
      <c r="BU22" s="248">
        <f>-Amortizaciones!BS21</f>
        <v>-7613321.0679119881</v>
      </c>
      <c r="BV22" s="248">
        <f>-Amortizaciones!BT21</f>
        <v>-7357407.0163565064</v>
      </c>
      <c r="BW22" s="248">
        <f>-Amortizaciones!BU21</f>
        <v>-7099609.1299809562</v>
      </c>
      <c r="BX22" s="248">
        <f>-Amortizaciones!BV21</f>
        <v>-6839913.5414982243</v>
      </c>
      <c r="BY22" s="248">
        <f>-Amortizaciones!BW21</f>
        <v>-6578306.2815413056</v>
      </c>
      <c r="BZ22" s="248">
        <f>-Amortizaciones!BX21</f>
        <v>-6314773.2779118763</v>
      </c>
      <c r="CA22" s="248"/>
      <c r="CB22" s="248"/>
      <c r="CC22" s="248"/>
      <c r="CD22" s="248"/>
      <c r="CE22" s="248"/>
      <c r="CF22" s="248"/>
      <c r="CG22" s="248"/>
      <c r="CH22" s="248"/>
      <c r="CI22" s="248"/>
      <c r="CJ22" s="248"/>
      <c r="CK22" s="248"/>
      <c r="CL22" s="248"/>
      <c r="CM22" s="248"/>
      <c r="CN22" s="248"/>
      <c r="CO22" s="248"/>
      <c r="CP22" s="248"/>
      <c r="CQ22" s="248"/>
      <c r="CR22" s="248"/>
      <c r="CS22" s="248"/>
      <c r="CT22" s="248"/>
      <c r="CU22" s="248"/>
      <c r="CV22" s="248"/>
      <c r="CW22" s="248"/>
      <c r="CX22" s="248"/>
      <c r="CY22" s="248"/>
      <c r="CZ22" s="248"/>
      <c r="DA22" s="248"/>
      <c r="DB22" s="248"/>
      <c r="DC22" s="248"/>
      <c r="DD22" s="248"/>
      <c r="DE22" s="248"/>
      <c r="DF22" s="248"/>
      <c r="DG22" s="248"/>
      <c r="DH22" s="248"/>
      <c r="DI22" s="248"/>
      <c r="DJ22" s="248"/>
      <c r="DK22" s="248"/>
      <c r="DL22" s="248"/>
      <c r="DM22" s="248"/>
      <c r="DN22" s="248"/>
      <c r="DO22" s="248"/>
      <c r="DP22" s="248"/>
      <c r="DQ22" s="248"/>
      <c r="DR22" s="248"/>
      <c r="DS22" s="248"/>
      <c r="DT22" s="248"/>
      <c r="DU22" s="248"/>
      <c r="DV22" s="248"/>
      <c r="DW22" s="248"/>
      <c r="DX22" s="248"/>
      <c r="DY22" s="248"/>
    </row>
    <row r="23" spans="2:129" s="103" customFormat="1" ht="16" customHeight="1" x14ac:dyDescent="0.45">
      <c r="B23" s="86" t="s">
        <v>138</v>
      </c>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c r="AQ23" s="105"/>
      <c r="AR23" s="105"/>
      <c r="AS23" s="105"/>
      <c r="AT23" s="105"/>
      <c r="AU23" s="105"/>
      <c r="AV23" s="105"/>
      <c r="AW23" s="105"/>
      <c r="AX23" s="105"/>
      <c r="AY23" s="105"/>
      <c r="AZ23" s="105"/>
      <c r="BA23" s="105"/>
      <c r="BB23" s="105"/>
      <c r="BC23" s="105"/>
      <c r="BD23" s="105"/>
      <c r="BE23" s="105"/>
      <c r="BF23" s="105"/>
      <c r="BG23" s="105"/>
      <c r="BH23" s="105"/>
      <c r="BI23" s="105"/>
      <c r="BJ23" s="105"/>
      <c r="BK23" s="105"/>
      <c r="BL23" s="105"/>
      <c r="BM23" s="105"/>
      <c r="BN23" s="105"/>
      <c r="BO23" s="105"/>
      <c r="BP23" s="105"/>
      <c r="BQ23" s="105"/>
      <c r="BR23" s="105"/>
      <c r="BS23" s="105"/>
      <c r="BT23" s="105"/>
      <c r="BU23" s="105"/>
      <c r="BV23" s="105"/>
      <c r="BW23" s="105"/>
      <c r="BX23" s="105"/>
      <c r="BY23" s="105"/>
      <c r="BZ23" s="105"/>
      <c r="CA23" s="105"/>
      <c r="CB23" s="105"/>
      <c r="CC23" s="105"/>
      <c r="CD23" s="105"/>
      <c r="CE23" s="105"/>
      <c r="CF23" s="105"/>
      <c r="CG23" s="105"/>
      <c r="CH23" s="105"/>
      <c r="CI23" s="105"/>
      <c r="CJ23" s="105"/>
      <c r="CK23" s="105"/>
      <c r="CL23" s="105"/>
      <c r="CM23" s="105"/>
      <c r="CN23" s="105"/>
      <c r="CO23" s="105"/>
      <c r="CP23" s="105"/>
      <c r="CQ23" s="105"/>
      <c r="CR23" s="105"/>
      <c r="CS23" s="105"/>
      <c r="CT23" s="105"/>
      <c r="CU23" s="105"/>
      <c r="CV23" s="105"/>
      <c r="CW23" s="105"/>
      <c r="CX23" s="105"/>
      <c r="CY23" s="105"/>
      <c r="CZ23" s="105"/>
      <c r="DA23" s="105"/>
      <c r="DB23" s="105"/>
      <c r="DC23" s="105"/>
      <c r="DD23" s="105"/>
      <c r="DE23" s="105"/>
      <c r="DF23" s="105"/>
      <c r="DG23" s="105"/>
      <c r="DH23" s="105"/>
      <c r="DI23" s="105"/>
      <c r="DJ23" s="105"/>
      <c r="DK23" s="105"/>
      <c r="DL23" s="105"/>
      <c r="DM23" s="105"/>
      <c r="DN23" s="105"/>
      <c r="DO23" s="105"/>
      <c r="DP23" s="105"/>
      <c r="DQ23" s="105"/>
      <c r="DR23" s="105"/>
      <c r="DS23" s="105"/>
      <c r="DT23" s="105"/>
      <c r="DU23" s="105"/>
      <c r="DV23" s="105"/>
      <c r="DW23" s="105"/>
      <c r="DX23" s="105"/>
      <c r="DY23" s="105"/>
    </row>
    <row r="24" spans="2:129" s="100" customFormat="1" ht="16" customHeight="1" x14ac:dyDescent="0.45">
      <c r="B24" s="101" t="s">
        <v>139</v>
      </c>
      <c r="C24" s="111"/>
      <c r="D24" s="111">
        <f>D17+SUM(D18:D23)</f>
        <v>0</v>
      </c>
      <c r="E24" s="111">
        <f>E17+SUM(E18:E23)</f>
        <v>0</v>
      </c>
      <c r="F24" s="111">
        <f t="shared" ref="F24:I24" si="114">F17+SUM(F18:F23)</f>
        <v>0</v>
      </c>
      <c r="G24" s="111">
        <f t="shared" si="114"/>
        <v>0</v>
      </c>
      <c r="H24" s="111">
        <f t="shared" si="114"/>
        <v>0</v>
      </c>
      <c r="I24" s="111">
        <f t="shared" si="114"/>
        <v>-27574727.248421889</v>
      </c>
      <c r="J24" s="111">
        <f>J17+SUM(J18:J23)</f>
        <v>-27574727.248421889</v>
      </c>
      <c r="K24" s="111">
        <f t="shared" ref="K24:BV24" si="115">K17+SUM(K18:K23)</f>
        <v>39843775.578244761</v>
      </c>
      <c r="L24" s="111">
        <f t="shared" si="115"/>
        <v>39843775.578244761</v>
      </c>
      <c r="M24" s="111">
        <f t="shared" si="115"/>
        <v>39843775.578244761</v>
      </c>
      <c r="N24" s="111">
        <f t="shared" si="115"/>
        <v>39843775.578244761</v>
      </c>
      <c r="O24" s="111">
        <f t="shared" si="115"/>
        <v>39843775.578244761</v>
      </c>
      <c r="P24" s="111">
        <f t="shared" si="115"/>
        <v>48095349.710909069</v>
      </c>
      <c r="Q24" s="111">
        <f t="shared" si="115"/>
        <v>25039924.695955597</v>
      </c>
      <c r="R24" s="111">
        <f t="shared" si="115"/>
        <v>25039924.695955589</v>
      </c>
      <c r="S24" s="111">
        <f t="shared" si="115"/>
        <v>24659592.394061632</v>
      </c>
      <c r="T24" s="111">
        <f t="shared" si="115"/>
        <v>24659592.394061632</v>
      </c>
      <c r="U24" s="111">
        <f t="shared" si="115"/>
        <v>24659592.394061632</v>
      </c>
      <c r="V24" s="111">
        <f t="shared" si="115"/>
        <v>24659592.39406164</v>
      </c>
      <c r="W24" s="111">
        <f t="shared" si="115"/>
        <v>24659592.394061632</v>
      </c>
      <c r="X24" s="111">
        <f t="shared" si="115"/>
        <v>24659592.394061625</v>
      </c>
      <c r="Y24" s="111">
        <f t="shared" si="115"/>
        <v>24659592.39406164</v>
      </c>
      <c r="Z24" s="111">
        <f t="shared" si="115"/>
        <v>24659592.39406164</v>
      </c>
      <c r="AA24" s="111">
        <f t="shared" si="115"/>
        <v>24659592.39406164</v>
      </c>
      <c r="AB24" s="111">
        <f t="shared" si="115"/>
        <v>24659592.394061647</v>
      </c>
      <c r="AC24" s="111">
        <f t="shared" si="115"/>
        <v>24659592.394061647</v>
      </c>
      <c r="AD24" s="111">
        <f t="shared" si="115"/>
        <v>24659592.39406164</v>
      </c>
      <c r="AE24" s="111">
        <f t="shared" si="115"/>
        <v>25332043.233004212</v>
      </c>
      <c r="AF24" s="111">
        <f t="shared" si="115"/>
        <v>25332043.23300422</v>
      </c>
      <c r="AG24" s="111">
        <f t="shared" si="115"/>
        <v>25332043.233004212</v>
      </c>
      <c r="AH24" s="111">
        <f t="shared" si="115"/>
        <v>25332043.23300422</v>
      </c>
      <c r="AI24" s="111">
        <f t="shared" si="115"/>
        <v>25332043.233004212</v>
      </c>
      <c r="AJ24" s="111">
        <f t="shared" si="115"/>
        <v>25332043.233004205</v>
      </c>
      <c r="AK24" s="111">
        <f t="shared" si="115"/>
        <v>25332043.233004212</v>
      </c>
      <c r="AL24" s="111">
        <f t="shared" si="115"/>
        <v>25332043.233004205</v>
      </c>
      <c r="AM24" s="111">
        <f t="shared" si="115"/>
        <v>25332043.233004212</v>
      </c>
      <c r="AN24" s="111">
        <f t="shared" si="115"/>
        <v>25332043.233004212</v>
      </c>
      <c r="AO24" s="111">
        <f t="shared" si="115"/>
        <v>25332043.23300422</v>
      </c>
      <c r="AP24" s="111">
        <f t="shared" si="115"/>
        <v>25332043.23300422</v>
      </c>
      <c r="AQ24" s="111">
        <f t="shared" si="115"/>
        <v>26556665.929431207</v>
      </c>
      <c r="AR24" s="111">
        <f t="shared" si="115"/>
        <v>26556665.929431207</v>
      </c>
      <c r="AS24" s="111">
        <f t="shared" si="115"/>
        <v>26556665.929431207</v>
      </c>
      <c r="AT24" s="111">
        <f t="shared" si="115"/>
        <v>26556665.929431207</v>
      </c>
      <c r="AU24" s="111">
        <f t="shared" si="115"/>
        <v>26556665.9294312</v>
      </c>
      <c r="AV24" s="111">
        <f t="shared" si="115"/>
        <v>26556665.929431207</v>
      </c>
      <c r="AW24" s="111">
        <f t="shared" si="115"/>
        <v>26556665.929431207</v>
      </c>
      <c r="AX24" s="111">
        <f t="shared" si="115"/>
        <v>26556665.929431207</v>
      </c>
      <c r="AY24" s="111">
        <f t="shared" si="115"/>
        <v>26556665.9294312</v>
      </c>
      <c r="AZ24" s="111">
        <f t="shared" si="115"/>
        <v>26556665.929431207</v>
      </c>
      <c r="BA24" s="111">
        <f t="shared" si="115"/>
        <v>26556665.9294312</v>
      </c>
      <c r="BB24" s="111">
        <f t="shared" si="115"/>
        <v>26556665.9294312</v>
      </c>
      <c r="BC24" s="111">
        <f t="shared" si="115"/>
        <v>32031004.540078744</v>
      </c>
      <c r="BD24" s="111">
        <f t="shared" si="115"/>
        <v>32031004.540078744</v>
      </c>
      <c r="BE24" s="111">
        <f t="shared" si="115"/>
        <v>32031004.540078752</v>
      </c>
      <c r="BF24" s="111">
        <f t="shared" si="115"/>
        <v>32031004.540078752</v>
      </c>
      <c r="BG24" s="111">
        <f t="shared" si="115"/>
        <v>32031004.540078752</v>
      </c>
      <c r="BH24" s="111">
        <f t="shared" si="115"/>
        <v>32031004.540078752</v>
      </c>
      <c r="BI24" s="111">
        <f t="shared" si="115"/>
        <v>32031004.540078744</v>
      </c>
      <c r="BJ24" s="111">
        <f t="shared" si="115"/>
        <v>32031004.540078752</v>
      </c>
      <c r="BK24" s="111">
        <f t="shared" si="115"/>
        <v>32031004.540078759</v>
      </c>
      <c r="BL24" s="111">
        <f t="shared" si="115"/>
        <v>32031004.540078759</v>
      </c>
      <c r="BM24" s="111">
        <f t="shared" si="115"/>
        <v>32031004.540078759</v>
      </c>
      <c r="BN24" s="111">
        <f t="shared" si="115"/>
        <v>32031004.540078752</v>
      </c>
      <c r="BO24" s="111">
        <f t="shared" si="115"/>
        <v>39598182.403293885</v>
      </c>
      <c r="BP24" s="111">
        <f t="shared" si="115"/>
        <v>39598182.403293885</v>
      </c>
      <c r="BQ24" s="111">
        <f t="shared" si="115"/>
        <v>39598182.403293893</v>
      </c>
      <c r="BR24" s="111">
        <f t="shared" si="115"/>
        <v>39598182.4032939</v>
      </c>
      <c r="BS24" s="111">
        <f t="shared" si="115"/>
        <v>39598182.403293893</v>
      </c>
      <c r="BT24" s="111">
        <f t="shared" si="115"/>
        <v>39598182.4032939</v>
      </c>
      <c r="BU24" s="111">
        <f t="shared" si="115"/>
        <v>39598182.403293893</v>
      </c>
      <c r="BV24" s="111">
        <f t="shared" si="115"/>
        <v>39598182.403293893</v>
      </c>
      <c r="BW24" s="111">
        <f t="shared" ref="BW24:BZ24" si="116">BW17+SUM(BW18:BW23)</f>
        <v>39598182.4032939</v>
      </c>
      <c r="BX24" s="111">
        <f t="shared" si="116"/>
        <v>39598182.4032939</v>
      </c>
      <c r="BY24" s="111">
        <f t="shared" si="116"/>
        <v>39598182.403293893</v>
      </c>
      <c r="BZ24" s="111">
        <f t="shared" si="116"/>
        <v>39598182.403293893</v>
      </c>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c r="CY24" s="111"/>
      <c r="CZ24" s="111"/>
      <c r="DA24" s="111"/>
      <c r="DB24" s="111"/>
      <c r="DC24" s="111"/>
      <c r="DD24" s="111"/>
      <c r="DE24" s="111"/>
      <c r="DF24" s="111"/>
      <c r="DG24" s="111"/>
      <c r="DH24" s="111"/>
      <c r="DI24" s="111"/>
      <c r="DJ24" s="111"/>
      <c r="DK24" s="111"/>
      <c r="DL24" s="111"/>
      <c r="DM24" s="111"/>
      <c r="DN24" s="111"/>
      <c r="DO24" s="111"/>
      <c r="DP24" s="111"/>
      <c r="DQ24" s="111"/>
      <c r="DR24" s="111"/>
      <c r="DS24" s="111"/>
      <c r="DT24" s="111"/>
      <c r="DU24" s="111"/>
      <c r="DV24" s="111"/>
      <c r="DW24" s="111"/>
      <c r="DX24" s="111"/>
      <c r="DY24" s="111"/>
    </row>
    <row r="25" spans="2:129" x14ac:dyDescent="0.4">
      <c r="B25" s="86" t="s">
        <v>140</v>
      </c>
      <c r="C25" s="87"/>
      <c r="D25" s="87">
        <f>D24</f>
        <v>0</v>
      </c>
      <c r="E25" s="87">
        <f>D25+E24</f>
        <v>0</v>
      </c>
      <c r="F25" s="87">
        <f t="shared" ref="F25:J25" si="117">E25+F24</f>
        <v>0</v>
      </c>
      <c r="G25" s="87">
        <f t="shared" si="117"/>
        <v>0</v>
      </c>
      <c r="H25" s="87">
        <f t="shared" si="117"/>
        <v>0</v>
      </c>
      <c r="I25" s="87">
        <f t="shared" si="117"/>
        <v>-27574727.248421889</v>
      </c>
      <c r="J25" s="87">
        <f t="shared" si="117"/>
        <v>-55149454.496843778</v>
      </c>
      <c r="K25" s="87">
        <f t="shared" ref="K25" si="118">J25+K24</f>
        <v>-15305678.918599017</v>
      </c>
      <c r="L25" s="87">
        <f t="shared" ref="L25" si="119">K25+L24</f>
        <v>24538096.659645744</v>
      </c>
      <c r="M25" s="87">
        <f t="shared" ref="M25" si="120">L25+M24</f>
        <v>64381872.237890504</v>
      </c>
      <c r="N25" s="87">
        <f t="shared" ref="N25" si="121">M25+N24</f>
        <v>104225647.81613526</v>
      </c>
      <c r="O25" s="87">
        <f t="shared" ref="O25" si="122">N25+O24</f>
        <v>144069423.39438003</v>
      </c>
      <c r="P25" s="87">
        <f t="shared" ref="P25" si="123">O25+P24</f>
        <v>192164773.1052891</v>
      </c>
      <c r="Q25" s="87">
        <f t="shared" ref="Q25" si="124">P25+Q24</f>
        <v>217204697.80124471</v>
      </c>
      <c r="R25" s="87">
        <f t="shared" ref="R25" si="125">Q25+R24</f>
        <v>242244622.49720031</v>
      </c>
      <c r="S25" s="87">
        <f t="shared" ref="S25" si="126">R25+S24</f>
        <v>266904214.89126194</v>
      </c>
      <c r="T25" s="87">
        <f t="shared" ref="T25" si="127">S25+T24</f>
        <v>291563807.28532356</v>
      </c>
      <c r="U25" s="87">
        <f t="shared" ref="U25" si="128">T25+U24</f>
        <v>316223399.67938519</v>
      </c>
      <c r="V25" s="87">
        <f t="shared" ref="V25" si="129">U25+V24</f>
        <v>340882992.07344681</v>
      </c>
      <c r="W25" s="87">
        <f t="shared" ref="W25" si="130">V25+W24</f>
        <v>365542584.46750844</v>
      </c>
      <c r="X25" s="87">
        <f t="shared" ref="X25" si="131">W25+X24</f>
        <v>390202176.86157006</v>
      </c>
      <c r="Y25" s="87">
        <f t="shared" ref="Y25" si="132">X25+Y24</f>
        <v>414861769.25563169</v>
      </c>
      <c r="Z25" s="87">
        <f t="shared" ref="Z25" si="133">Y25+Z24</f>
        <v>439521361.64969331</v>
      </c>
      <c r="AA25" s="87">
        <f t="shared" ref="AA25" si="134">Z25+AA24</f>
        <v>464180954.04375494</v>
      </c>
      <c r="AB25" s="87">
        <f t="shared" ref="AB25" si="135">AA25+AB24</f>
        <v>488840546.43781656</v>
      </c>
      <c r="AC25" s="87">
        <f t="shared" ref="AC25" si="136">AB25+AC24</f>
        <v>513500138.83187819</v>
      </c>
      <c r="AD25" s="87">
        <f t="shared" ref="AD25" si="137">AC25+AD24</f>
        <v>538159731.22593987</v>
      </c>
      <c r="AE25" s="87">
        <f t="shared" ref="AE25" si="138">AD25+AE24</f>
        <v>563491774.45894408</v>
      </c>
      <c r="AF25" s="87">
        <f t="shared" ref="AF25" si="139">AE25+AF24</f>
        <v>588823817.69194829</v>
      </c>
      <c r="AG25" s="87">
        <f t="shared" ref="AG25" si="140">AF25+AG24</f>
        <v>614155860.92495251</v>
      </c>
      <c r="AH25" s="87">
        <f t="shared" ref="AH25" si="141">AG25+AH24</f>
        <v>639487904.15795672</v>
      </c>
      <c r="AI25" s="87">
        <f t="shared" ref="AI25" si="142">AH25+AI24</f>
        <v>664819947.39096093</v>
      </c>
      <c r="AJ25" s="87">
        <f t="shared" ref="AJ25" si="143">AI25+AJ24</f>
        <v>690151990.62396514</v>
      </c>
      <c r="AK25" s="87">
        <f t="shared" ref="AK25" si="144">AJ25+AK24</f>
        <v>715484033.85696936</v>
      </c>
      <c r="AL25" s="87">
        <f t="shared" ref="AL25" si="145">AK25+AL24</f>
        <v>740816077.08997357</v>
      </c>
      <c r="AM25" s="87">
        <f t="shared" ref="AM25" si="146">AL25+AM24</f>
        <v>766148120.32297778</v>
      </c>
      <c r="AN25" s="87">
        <f t="shared" ref="AN25" si="147">AM25+AN24</f>
        <v>791480163.55598199</v>
      </c>
      <c r="AO25" s="87">
        <f t="shared" ref="AO25" si="148">AN25+AO24</f>
        <v>816812206.78898621</v>
      </c>
      <c r="AP25" s="87">
        <f t="shared" ref="AP25" si="149">AO25+AP24</f>
        <v>842144250.02199042</v>
      </c>
      <c r="AQ25" s="87">
        <f t="shared" ref="AQ25" si="150">AP25+AQ24</f>
        <v>868700915.95142162</v>
      </c>
      <c r="AR25" s="87">
        <f t="shared" ref="AR25" si="151">AQ25+AR24</f>
        <v>895257581.88085282</v>
      </c>
      <c r="AS25" s="87">
        <f t="shared" ref="AS25" si="152">AR25+AS24</f>
        <v>921814247.81028402</v>
      </c>
      <c r="AT25" s="87">
        <f t="shared" ref="AT25" si="153">AS25+AT24</f>
        <v>948370913.73971522</v>
      </c>
      <c r="AU25" s="87">
        <f t="shared" ref="AU25" si="154">AT25+AU24</f>
        <v>974927579.66914642</v>
      </c>
      <c r="AV25" s="87">
        <f t="shared" ref="AV25" si="155">AU25+AV24</f>
        <v>1001484245.5985776</v>
      </c>
      <c r="AW25" s="87">
        <f t="shared" ref="AW25" si="156">AV25+AW24</f>
        <v>1028040911.5280088</v>
      </c>
      <c r="AX25" s="87">
        <f t="shared" ref="AX25" si="157">AW25+AX24</f>
        <v>1054597577.45744</v>
      </c>
      <c r="AY25" s="87">
        <f t="shared" ref="AY25" si="158">AX25+AY24</f>
        <v>1081154243.3868713</v>
      </c>
      <c r="AZ25" s="87">
        <f t="shared" ref="AZ25" si="159">AY25+AZ24</f>
        <v>1107710909.3163025</v>
      </c>
      <c r="BA25" s="87">
        <f t="shared" ref="BA25" si="160">AZ25+BA24</f>
        <v>1134267575.2457337</v>
      </c>
      <c r="BB25" s="87">
        <f t="shared" ref="BB25" si="161">BA25+BB24</f>
        <v>1160824241.1751649</v>
      </c>
      <c r="BC25" s="87">
        <f t="shared" ref="BC25" si="162">BB25+BC24</f>
        <v>1192855245.7152436</v>
      </c>
      <c r="BD25" s="87">
        <f t="shared" ref="BD25" si="163">BC25+BD24</f>
        <v>1224886250.2553222</v>
      </c>
      <c r="BE25" s="87">
        <f t="shared" ref="BE25" si="164">BD25+BE24</f>
        <v>1256917254.7954009</v>
      </c>
      <c r="BF25" s="87">
        <f t="shared" ref="BF25" si="165">BE25+BF24</f>
        <v>1288948259.3354795</v>
      </c>
      <c r="BG25" s="87">
        <f t="shared" ref="BG25" si="166">BF25+BG24</f>
        <v>1320979263.8755581</v>
      </c>
      <c r="BH25" s="87">
        <f t="shared" ref="BH25" si="167">BG25+BH24</f>
        <v>1353010268.4156368</v>
      </c>
      <c r="BI25" s="87">
        <f t="shared" ref="BI25" si="168">BH25+BI24</f>
        <v>1385041272.9557154</v>
      </c>
      <c r="BJ25" s="87">
        <f t="shared" ref="BJ25" si="169">BI25+BJ24</f>
        <v>1417072277.4957941</v>
      </c>
      <c r="BK25" s="87">
        <f t="shared" ref="BK25" si="170">BJ25+BK24</f>
        <v>1449103282.0358729</v>
      </c>
      <c r="BL25" s="87">
        <f t="shared" ref="BL25" si="171">BK25+BL24</f>
        <v>1481134286.5759516</v>
      </c>
      <c r="BM25" s="87">
        <f t="shared" ref="BM25" si="172">BL25+BM24</f>
        <v>1513165291.1160302</v>
      </c>
      <c r="BN25" s="87">
        <f t="shared" ref="BN25" si="173">BM25+BN24</f>
        <v>1545196295.6561089</v>
      </c>
      <c r="BO25" s="87">
        <f t="shared" ref="BO25" si="174">BN25+BO24</f>
        <v>1584794478.0594027</v>
      </c>
      <c r="BP25" s="87">
        <f t="shared" ref="BP25" si="175">BO25+BP24</f>
        <v>1624392660.4626966</v>
      </c>
      <c r="BQ25" s="87">
        <f t="shared" ref="BQ25" si="176">BP25+BQ24</f>
        <v>1663990842.8659904</v>
      </c>
      <c r="BR25" s="87">
        <f t="shared" ref="BR25" si="177">BQ25+BR24</f>
        <v>1703589025.2692842</v>
      </c>
      <c r="BS25" s="87">
        <f t="shared" ref="BS25" si="178">BR25+BS24</f>
        <v>1743187207.6725781</v>
      </c>
      <c r="BT25" s="87">
        <f t="shared" ref="BT25" si="179">BS25+BT24</f>
        <v>1782785390.0758719</v>
      </c>
      <c r="BU25" s="87">
        <f t="shared" ref="BU25" si="180">BT25+BU24</f>
        <v>1822383572.4791658</v>
      </c>
      <c r="BV25" s="87">
        <f t="shared" ref="BV25" si="181">BU25+BV24</f>
        <v>1861981754.8824596</v>
      </c>
      <c r="BW25" s="87">
        <f t="shared" ref="BW25" si="182">BV25+BW24</f>
        <v>1901579937.2857535</v>
      </c>
      <c r="BX25" s="87">
        <f t="shared" ref="BX25" si="183">BW25+BX24</f>
        <v>1941178119.6890473</v>
      </c>
      <c r="BY25" s="87">
        <f t="shared" ref="BY25" si="184">BX25+BY24</f>
        <v>1980776302.0923412</v>
      </c>
      <c r="BZ25" s="87">
        <f t="shared" ref="BZ25" si="185">BY25+BZ24</f>
        <v>2020374484.495635</v>
      </c>
      <c r="CA25" s="87"/>
      <c r="CB25" s="87"/>
      <c r="CC25" s="87"/>
      <c r="CD25" s="87"/>
      <c r="CE25" s="87"/>
      <c r="CF25" s="87"/>
      <c r="CG25" s="87"/>
      <c r="CH25" s="87"/>
      <c r="CI25" s="87"/>
      <c r="CJ25" s="87"/>
      <c r="CK25" s="87"/>
      <c r="CL25" s="87"/>
      <c r="CM25" s="87"/>
      <c r="CN25" s="87"/>
      <c r="CO25" s="87"/>
      <c r="CP25" s="87"/>
      <c r="CQ25" s="87"/>
      <c r="CR25" s="87"/>
      <c r="CS25" s="87"/>
      <c r="CT25" s="87"/>
      <c r="CU25" s="87"/>
      <c r="CV25" s="87"/>
      <c r="CW25" s="87"/>
      <c r="CX25" s="87"/>
      <c r="CY25" s="87"/>
      <c r="CZ25" s="87"/>
      <c r="DA25" s="87"/>
      <c r="DB25" s="87"/>
      <c r="DC25" s="87"/>
      <c r="DD25" s="87"/>
      <c r="DE25" s="87"/>
      <c r="DF25" s="87"/>
      <c r="DG25" s="87"/>
      <c r="DH25" s="87"/>
      <c r="DI25" s="87"/>
      <c r="DJ25" s="87"/>
      <c r="DK25" s="87"/>
      <c r="DL25" s="87"/>
      <c r="DM25" s="87"/>
      <c r="DN25" s="87"/>
      <c r="DO25" s="87"/>
      <c r="DP25" s="87"/>
      <c r="DQ25" s="87"/>
      <c r="DR25" s="87"/>
      <c r="DS25" s="87"/>
      <c r="DT25" s="87"/>
      <c r="DU25" s="87"/>
      <c r="DV25" s="87"/>
      <c r="DW25" s="87"/>
      <c r="DX25" s="87"/>
      <c r="DY25" s="87"/>
    </row>
    <row r="26" spans="2:129" ht="15.9" x14ac:dyDescent="0.45">
      <c r="C26" s="97"/>
      <c r="D26" s="97"/>
      <c r="E26" s="97"/>
      <c r="F26" s="97"/>
      <c r="G26" s="97"/>
      <c r="H26" s="97"/>
      <c r="I26" s="97"/>
    </row>
    <row r="27" spans="2:129" ht="18.45" x14ac:dyDescent="0.5">
      <c r="D27" s="353"/>
      <c r="E27" s="353"/>
      <c r="F27" s="353"/>
      <c r="G27" s="353"/>
      <c r="H27" s="353"/>
      <c r="I27" s="353"/>
    </row>
    <row r="28" spans="2:129" ht="43.75" x14ac:dyDescent="0.4">
      <c r="B28" s="271" t="s">
        <v>141</v>
      </c>
    </row>
    <row r="29" spans="2:129" ht="53.15" customHeight="1" x14ac:dyDescent="0.4">
      <c r="B29" s="271" t="s">
        <v>142</v>
      </c>
    </row>
    <row r="34" spans="2:11" x14ac:dyDescent="0.4">
      <c r="B34" s="272"/>
      <c r="C34" s="273"/>
      <c r="D34" s="273"/>
      <c r="E34" s="273"/>
      <c r="F34" s="273"/>
      <c r="G34" s="273"/>
      <c r="H34" s="273"/>
      <c r="I34" s="273"/>
      <c r="J34" s="273"/>
      <c r="K34" s="273"/>
    </row>
    <row r="35" spans="2:11" x14ac:dyDescent="0.4">
      <c r="B35" s="274"/>
      <c r="C35" s="256"/>
      <c r="D35" s="256"/>
      <c r="E35" s="256"/>
      <c r="F35" s="256"/>
      <c r="G35" s="256"/>
      <c r="H35" s="256"/>
      <c r="I35" s="256"/>
      <c r="J35" s="256"/>
      <c r="K35" s="256"/>
    </row>
    <row r="45" spans="2:11" x14ac:dyDescent="0.4">
      <c r="C45" s="99"/>
      <c r="D45" s="275"/>
    </row>
    <row r="46" spans="2:11" x14ac:dyDescent="0.4">
      <c r="C46" s="99"/>
      <c r="D46" s="275"/>
    </row>
    <row r="47" spans="2:11" x14ac:dyDescent="0.4">
      <c r="C47" s="99"/>
      <c r="D47" s="275"/>
    </row>
    <row r="48" spans="2:11" x14ac:dyDescent="0.4">
      <c r="C48" s="99"/>
      <c r="D48" s="275"/>
      <c r="F48" s="276"/>
    </row>
    <row r="49" spans="6:6" x14ac:dyDescent="0.4">
      <c r="F49" s="275"/>
    </row>
    <row r="50" spans="6:6" x14ac:dyDescent="0.4">
      <c r="F50" s="246"/>
    </row>
  </sheetData>
  <mergeCells count="3">
    <mergeCell ref="C1:N2"/>
    <mergeCell ref="D4:I4"/>
    <mergeCell ref="D27:I27"/>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C468E-8009-A642-8147-81A2F8454929}">
  <dimension ref="A2:DW173"/>
  <sheetViews>
    <sheetView zoomScale="80" zoomScaleNormal="80" workbookViewId="0">
      <selection activeCell="B6" sqref="B6"/>
    </sheetView>
  </sheetViews>
  <sheetFormatPr defaultColWidth="26.5" defaultRowHeight="15.9" x14ac:dyDescent="0.45"/>
  <cols>
    <col min="2" max="2" width="15.85546875" customWidth="1"/>
    <col min="3" max="6" width="14.2109375" bestFit="1" customWidth="1"/>
    <col min="7" max="7" width="15.7109375" bestFit="1" customWidth="1"/>
  </cols>
  <sheetData>
    <row r="2" spans="1:127" ht="16" customHeight="1" x14ac:dyDescent="0.45">
      <c r="A2" s="355" t="s">
        <v>143</v>
      </c>
      <c r="B2" s="355"/>
      <c r="C2" s="355"/>
      <c r="D2" s="70"/>
      <c r="E2" s="70"/>
      <c r="F2" s="70"/>
    </row>
    <row r="3" spans="1:127" ht="16" customHeight="1" thickBot="1" x14ac:dyDescent="0.5">
      <c r="A3" s="356"/>
      <c r="B3" s="356"/>
      <c r="C3" s="356"/>
      <c r="D3" s="70"/>
      <c r="E3" s="70"/>
      <c r="F3" s="70"/>
    </row>
    <row r="4" spans="1:127" x14ac:dyDescent="0.45">
      <c r="A4" s="74" t="s">
        <v>60</v>
      </c>
      <c r="B4" s="73">
        <f>+'FC - BT Proyecto'!D21</f>
        <v>2625000000</v>
      </c>
      <c r="C4" s="74"/>
    </row>
    <row r="5" spans="1:127" x14ac:dyDescent="0.45">
      <c r="A5" t="s">
        <v>144</v>
      </c>
      <c r="B5">
        <f>12*'FC - BT Inversionista'!D18</f>
        <v>84</v>
      </c>
      <c r="C5" s="74"/>
      <c r="D5" s="8"/>
    </row>
    <row r="6" spans="1:127" x14ac:dyDescent="0.45">
      <c r="A6" s="74" t="s">
        <v>145</v>
      </c>
      <c r="B6" s="71">
        <v>0.04</v>
      </c>
      <c r="C6" s="74"/>
      <c r="D6" s="9"/>
    </row>
    <row r="7" spans="1:127" x14ac:dyDescent="0.45">
      <c r="A7" s="76"/>
      <c r="B7" s="71"/>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row>
    <row r="8" spans="1:127" x14ac:dyDescent="0.45">
      <c r="A8" s="250"/>
      <c r="B8" s="5"/>
      <c r="D8" s="10"/>
    </row>
    <row r="9" spans="1:127" x14ac:dyDescent="0.45">
      <c r="A9" s="250"/>
      <c r="B9" s="5"/>
      <c r="D9" s="10"/>
    </row>
    <row r="10" spans="1:127" ht="16" customHeight="1" x14ac:dyDescent="0.45">
      <c r="A10" s="251" t="s">
        <v>146</v>
      </c>
      <c r="B10" s="251"/>
      <c r="C10" s="251"/>
      <c r="D10" s="10"/>
    </row>
    <row r="11" spans="1:127" ht="17.149999999999999" customHeight="1" thickBot="1" x14ac:dyDescent="0.5">
      <c r="A11" s="252"/>
      <c r="B11" s="253">
        <v>45658</v>
      </c>
      <c r="C11" s="253">
        <v>45689</v>
      </c>
      <c r="D11" s="253">
        <v>45717</v>
      </c>
      <c r="E11" s="253">
        <v>45748</v>
      </c>
      <c r="F11" s="253">
        <v>45778</v>
      </c>
      <c r="G11" s="253">
        <v>45809</v>
      </c>
      <c r="H11" s="253">
        <v>45839</v>
      </c>
      <c r="I11" s="253">
        <v>45870</v>
      </c>
      <c r="J11" s="253">
        <v>45901</v>
      </c>
      <c r="K11" s="253">
        <v>45931</v>
      </c>
      <c r="L11" s="253">
        <v>45962</v>
      </c>
      <c r="M11" s="253">
        <v>45992</v>
      </c>
      <c r="N11" s="253">
        <v>46023</v>
      </c>
      <c r="O11" s="253">
        <v>46054</v>
      </c>
      <c r="P11" s="253">
        <v>46082</v>
      </c>
      <c r="Q11" s="253">
        <v>46113</v>
      </c>
      <c r="R11" s="253">
        <v>46143</v>
      </c>
      <c r="S11" s="253">
        <v>46174</v>
      </c>
      <c r="T11" s="253">
        <v>46204</v>
      </c>
      <c r="U11" s="253">
        <v>46235</v>
      </c>
      <c r="V11" s="253">
        <v>46266</v>
      </c>
      <c r="W11" s="253">
        <v>46296</v>
      </c>
      <c r="X11" s="253">
        <v>46327</v>
      </c>
      <c r="Y11" s="253">
        <v>46357</v>
      </c>
      <c r="Z11" s="253">
        <v>46388</v>
      </c>
      <c r="AA11" s="253">
        <v>46419</v>
      </c>
      <c r="AB11" s="253">
        <v>46447</v>
      </c>
      <c r="AC11" s="253">
        <v>46478</v>
      </c>
      <c r="AD11" s="253">
        <v>46508</v>
      </c>
      <c r="AE11" s="253">
        <v>46539</v>
      </c>
      <c r="AF11" s="253">
        <v>46569</v>
      </c>
      <c r="AG11" s="253">
        <v>46600</v>
      </c>
      <c r="AH11" s="253">
        <v>46631</v>
      </c>
      <c r="AI11" s="253">
        <v>46661</v>
      </c>
      <c r="AJ11" s="253">
        <v>46692</v>
      </c>
      <c r="AK11" s="253">
        <v>46722</v>
      </c>
      <c r="AL11" s="253">
        <v>46753</v>
      </c>
      <c r="AM11" s="253">
        <v>46784</v>
      </c>
      <c r="AN11" s="253">
        <v>46813</v>
      </c>
      <c r="AO11" s="253">
        <v>46844</v>
      </c>
      <c r="AP11" s="253">
        <v>46874</v>
      </c>
      <c r="AQ11" s="253">
        <v>46905</v>
      </c>
      <c r="AR11" s="253">
        <v>46935</v>
      </c>
      <c r="AS11" s="253">
        <v>46966</v>
      </c>
      <c r="AT11" s="253">
        <v>46997</v>
      </c>
      <c r="AU11" s="253">
        <v>47027</v>
      </c>
      <c r="AV11" s="253">
        <v>47058</v>
      </c>
      <c r="AW11" s="253">
        <v>47088</v>
      </c>
      <c r="AX11" s="253">
        <v>47119</v>
      </c>
      <c r="AY11" s="253">
        <v>47150</v>
      </c>
      <c r="AZ11" s="253">
        <v>47178</v>
      </c>
      <c r="BA11" s="253">
        <v>47209</v>
      </c>
      <c r="BB11" s="253">
        <v>47239</v>
      </c>
      <c r="BC11" s="253">
        <v>47270</v>
      </c>
      <c r="BD11" s="253">
        <v>47300</v>
      </c>
      <c r="BE11" s="253">
        <v>47331</v>
      </c>
      <c r="BF11" s="253">
        <v>47362</v>
      </c>
      <c r="BG11" s="253">
        <v>47392</v>
      </c>
      <c r="BH11" s="253">
        <v>47423</v>
      </c>
      <c r="BI11" s="253">
        <v>47453</v>
      </c>
      <c r="BJ11" s="253">
        <v>47484</v>
      </c>
      <c r="BK11" s="253">
        <v>47515</v>
      </c>
      <c r="BL11" s="253">
        <v>47543</v>
      </c>
      <c r="BM11" s="253">
        <v>47574</v>
      </c>
      <c r="BN11" s="253">
        <v>47604</v>
      </c>
      <c r="BO11" s="253">
        <v>47635</v>
      </c>
      <c r="BP11" s="253">
        <v>47665</v>
      </c>
      <c r="BQ11" s="253">
        <v>47696</v>
      </c>
      <c r="BR11" s="253">
        <v>47727</v>
      </c>
      <c r="BS11" s="253">
        <v>47757</v>
      </c>
      <c r="BT11" s="253">
        <v>47788</v>
      </c>
      <c r="BU11" s="253">
        <v>47818</v>
      </c>
      <c r="BV11" s="253">
        <v>47849</v>
      </c>
      <c r="BW11" s="253">
        <v>47880</v>
      </c>
      <c r="BX11" s="253">
        <v>47908</v>
      </c>
      <c r="BY11" s="253">
        <v>47939</v>
      </c>
      <c r="BZ11" s="253">
        <v>47969</v>
      </c>
      <c r="CA11" s="253">
        <v>48000</v>
      </c>
      <c r="CB11" s="253">
        <v>48030</v>
      </c>
      <c r="CC11" s="253">
        <v>48061</v>
      </c>
      <c r="CD11" s="253">
        <v>48092</v>
      </c>
      <c r="CE11" s="253">
        <v>48122</v>
      </c>
      <c r="CF11" s="253">
        <v>48153</v>
      </c>
      <c r="CG11" s="253">
        <v>48183</v>
      </c>
      <c r="CH11" s="253">
        <v>48214</v>
      </c>
      <c r="CI11" s="253">
        <v>48245</v>
      </c>
      <c r="CJ11" s="253">
        <v>48274</v>
      </c>
      <c r="CK11" s="253">
        <v>48305</v>
      </c>
      <c r="CL11" s="253">
        <v>48335</v>
      </c>
      <c r="CM11" s="253">
        <v>48366</v>
      </c>
      <c r="CN11" s="253">
        <v>48396</v>
      </c>
      <c r="CO11" s="253">
        <v>48427</v>
      </c>
      <c r="CP11" s="253">
        <v>48458</v>
      </c>
      <c r="CQ11" s="253">
        <v>48488</v>
      </c>
      <c r="CR11" s="253">
        <v>48519</v>
      </c>
      <c r="CS11" s="253">
        <v>48549</v>
      </c>
      <c r="CT11" s="253">
        <v>48580</v>
      </c>
      <c r="CU11" s="253">
        <v>48611</v>
      </c>
      <c r="CV11" s="253">
        <v>48639</v>
      </c>
      <c r="CW11" s="253">
        <v>48670</v>
      </c>
      <c r="CX11" s="253">
        <v>48700</v>
      </c>
      <c r="CY11" s="253">
        <v>48731</v>
      </c>
      <c r="CZ11" s="253">
        <v>48761</v>
      </c>
      <c r="DA11" s="253">
        <v>48792</v>
      </c>
      <c r="DB11" s="253">
        <v>48823</v>
      </c>
      <c r="DC11" s="253">
        <v>48853</v>
      </c>
      <c r="DD11" s="253">
        <v>48884</v>
      </c>
      <c r="DE11" s="253">
        <v>48914</v>
      </c>
      <c r="DF11" s="253">
        <v>48945</v>
      </c>
      <c r="DG11" s="253">
        <v>48976</v>
      </c>
      <c r="DH11" s="253">
        <v>49004</v>
      </c>
      <c r="DI11" s="253">
        <v>49035</v>
      </c>
      <c r="DJ11" s="253">
        <v>49065</v>
      </c>
      <c r="DK11" s="253">
        <v>49096</v>
      </c>
      <c r="DL11" s="253">
        <v>49126</v>
      </c>
      <c r="DM11" s="253">
        <v>49157</v>
      </c>
      <c r="DN11" s="253">
        <v>49188</v>
      </c>
      <c r="DO11" s="253">
        <v>49218</v>
      </c>
      <c r="DP11" s="253">
        <v>49249</v>
      </c>
      <c r="DQ11" s="253">
        <v>49279</v>
      </c>
      <c r="DR11" s="253">
        <v>49310</v>
      </c>
      <c r="DS11" s="253">
        <v>49341</v>
      </c>
      <c r="DT11" s="253">
        <v>49369</v>
      </c>
      <c r="DU11" s="253">
        <v>49400</v>
      </c>
      <c r="DV11" s="253">
        <v>49430</v>
      </c>
      <c r="DW11" s="253">
        <v>49461</v>
      </c>
    </row>
    <row r="12" spans="1:127" x14ac:dyDescent="0.45">
      <c r="A12" s="250" t="s">
        <v>147</v>
      </c>
      <c r="B12" s="4">
        <v>0.09</v>
      </c>
      <c r="C12" s="4">
        <v>0.09</v>
      </c>
      <c r="D12" s="4">
        <v>0.09</v>
      </c>
      <c r="E12" s="4">
        <v>0.09</v>
      </c>
      <c r="F12" s="4">
        <v>0.09</v>
      </c>
      <c r="G12" s="4">
        <v>0.09</v>
      </c>
      <c r="H12" s="4">
        <v>0.09</v>
      </c>
      <c r="I12" s="4">
        <v>0.09</v>
      </c>
      <c r="J12" s="4">
        <v>0.09</v>
      </c>
      <c r="K12" s="4">
        <v>0.09</v>
      </c>
      <c r="L12" s="4">
        <v>0.09</v>
      </c>
      <c r="M12" s="4">
        <v>0.09</v>
      </c>
      <c r="N12" s="5">
        <v>0.05</v>
      </c>
      <c r="O12" s="5">
        <v>0.05</v>
      </c>
      <c r="P12" s="5">
        <v>0.05</v>
      </c>
      <c r="Q12" s="5">
        <v>0.05</v>
      </c>
      <c r="R12" s="5">
        <v>0.05</v>
      </c>
      <c r="S12" s="5">
        <v>0.05</v>
      </c>
      <c r="T12" s="5">
        <v>0.05</v>
      </c>
      <c r="U12" s="5">
        <v>0.05</v>
      </c>
      <c r="V12" s="5">
        <v>0.05</v>
      </c>
      <c r="W12" s="5">
        <v>0.05</v>
      </c>
      <c r="X12" s="5">
        <v>0.05</v>
      </c>
      <c r="Y12" s="5">
        <v>0.05</v>
      </c>
      <c r="Z12" s="5">
        <v>0.05</v>
      </c>
      <c r="AA12" s="5">
        <v>0.05</v>
      </c>
      <c r="AB12" s="5">
        <v>0.05</v>
      </c>
      <c r="AC12" s="5">
        <v>0.05</v>
      </c>
      <c r="AD12" s="5">
        <v>0.05</v>
      </c>
      <c r="AE12" s="5">
        <v>0.05</v>
      </c>
      <c r="AF12" s="5">
        <v>0.05</v>
      </c>
      <c r="AG12" s="5">
        <v>0.05</v>
      </c>
      <c r="AH12" s="5">
        <v>0.05</v>
      </c>
      <c r="AI12" s="5">
        <v>0.05</v>
      </c>
      <c r="AJ12" s="5">
        <v>0.05</v>
      </c>
      <c r="AK12" s="5">
        <v>0.05</v>
      </c>
      <c r="AL12" s="5">
        <v>0.05</v>
      </c>
      <c r="AM12" s="5">
        <v>0.05</v>
      </c>
      <c r="AN12" s="5">
        <v>0.05</v>
      </c>
      <c r="AO12" s="5">
        <v>0.05</v>
      </c>
      <c r="AP12" s="5">
        <v>0.05</v>
      </c>
      <c r="AQ12" s="5">
        <v>0.05</v>
      </c>
      <c r="AR12" s="5">
        <v>0.05</v>
      </c>
      <c r="AS12" s="5">
        <v>0.05</v>
      </c>
      <c r="AT12" s="5">
        <v>0.05</v>
      </c>
      <c r="AU12" s="5">
        <v>0.05</v>
      </c>
      <c r="AV12" s="5">
        <v>0.05</v>
      </c>
      <c r="AW12" s="5">
        <v>0.05</v>
      </c>
      <c r="AX12" s="5">
        <v>0.05</v>
      </c>
      <c r="AY12" s="5">
        <v>0.05</v>
      </c>
      <c r="AZ12" s="5">
        <v>0.05</v>
      </c>
      <c r="BA12" s="5">
        <v>0.05</v>
      </c>
      <c r="BB12" s="5">
        <v>0.05</v>
      </c>
      <c r="BC12" s="5">
        <v>0.05</v>
      </c>
      <c r="BD12" s="5">
        <v>0.05</v>
      </c>
      <c r="BE12" s="5">
        <v>0.05</v>
      </c>
      <c r="BF12" s="5">
        <v>0.05</v>
      </c>
      <c r="BG12" s="5">
        <v>0.05</v>
      </c>
      <c r="BH12" s="5">
        <v>0.05</v>
      </c>
      <c r="BI12" s="5">
        <v>0.05</v>
      </c>
      <c r="BJ12" s="5">
        <v>0.05</v>
      </c>
      <c r="BK12" s="5">
        <v>0.05</v>
      </c>
      <c r="BL12" s="5">
        <v>0.05</v>
      </c>
      <c r="BM12" s="5">
        <v>0.05</v>
      </c>
      <c r="BN12" s="5">
        <v>0.05</v>
      </c>
      <c r="BO12" s="5">
        <v>0.05</v>
      </c>
      <c r="BP12" s="5">
        <v>0.05</v>
      </c>
      <c r="BQ12" s="5">
        <v>0.05</v>
      </c>
      <c r="BR12" s="5">
        <v>0.05</v>
      </c>
      <c r="BS12" s="5">
        <v>0.05</v>
      </c>
      <c r="BT12" s="5">
        <v>0.05</v>
      </c>
      <c r="BU12" s="5">
        <v>0.05</v>
      </c>
      <c r="BV12" s="5">
        <v>0.05</v>
      </c>
      <c r="BW12" s="5">
        <v>0.05</v>
      </c>
      <c r="BX12" s="5">
        <v>0.05</v>
      </c>
      <c r="BY12" s="5">
        <v>0.05</v>
      </c>
      <c r="BZ12" s="5">
        <v>0.05</v>
      </c>
      <c r="CA12" s="5">
        <v>0.05</v>
      </c>
      <c r="CB12" s="5">
        <v>0.05</v>
      </c>
      <c r="CC12" s="5">
        <v>0.05</v>
      </c>
      <c r="CD12" s="5">
        <v>0.05</v>
      </c>
      <c r="CE12" s="5">
        <v>0.05</v>
      </c>
      <c r="CF12" s="5">
        <v>0.05</v>
      </c>
      <c r="CG12" s="5">
        <v>0.05</v>
      </c>
      <c r="CH12" s="5">
        <v>0.05</v>
      </c>
      <c r="CI12" s="5">
        <v>0.05</v>
      </c>
      <c r="CJ12" s="5">
        <v>0.05</v>
      </c>
      <c r="CK12" s="5">
        <v>0.05</v>
      </c>
      <c r="CL12" s="5">
        <v>0.05</v>
      </c>
      <c r="CM12" s="5">
        <v>0.05</v>
      </c>
      <c r="CN12" s="5">
        <v>0.05</v>
      </c>
      <c r="CO12" s="5">
        <v>0.05</v>
      </c>
      <c r="CP12" s="5">
        <v>0.05</v>
      </c>
      <c r="CQ12" s="5">
        <v>0.05</v>
      </c>
      <c r="CR12" s="5">
        <v>0.05</v>
      </c>
      <c r="CS12" s="5">
        <v>0.05</v>
      </c>
      <c r="CT12" s="5">
        <v>0.05</v>
      </c>
      <c r="CU12" s="5">
        <v>0.05</v>
      </c>
      <c r="CV12" s="5">
        <v>0.05</v>
      </c>
      <c r="CW12" s="5">
        <v>0.05</v>
      </c>
      <c r="CX12" s="5">
        <v>0.05</v>
      </c>
      <c r="CY12" s="5">
        <f t="shared" ref="CY12:DW12" si="0">CX12</f>
        <v>0.05</v>
      </c>
      <c r="CZ12" s="5">
        <f t="shared" si="0"/>
        <v>0.05</v>
      </c>
      <c r="DA12" s="5">
        <f t="shared" si="0"/>
        <v>0.05</v>
      </c>
      <c r="DB12" s="5">
        <f t="shared" si="0"/>
        <v>0.05</v>
      </c>
      <c r="DC12" s="5">
        <f t="shared" si="0"/>
        <v>0.05</v>
      </c>
      <c r="DD12" s="5">
        <f t="shared" si="0"/>
        <v>0.05</v>
      </c>
      <c r="DE12" s="5">
        <f t="shared" si="0"/>
        <v>0.05</v>
      </c>
      <c r="DF12" s="5">
        <f t="shared" si="0"/>
        <v>0.05</v>
      </c>
      <c r="DG12" s="5">
        <f t="shared" si="0"/>
        <v>0.05</v>
      </c>
      <c r="DH12" s="5">
        <f t="shared" si="0"/>
        <v>0.05</v>
      </c>
      <c r="DI12" s="5">
        <f t="shared" si="0"/>
        <v>0.05</v>
      </c>
      <c r="DJ12" s="5">
        <f t="shared" si="0"/>
        <v>0.05</v>
      </c>
      <c r="DK12" s="5">
        <f t="shared" si="0"/>
        <v>0.05</v>
      </c>
      <c r="DL12" s="5">
        <f t="shared" si="0"/>
        <v>0.05</v>
      </c>
      <c r="DM12" s="5">
        <f t="shared" si="0"/>
        <v>0.05</v>
      </c>
      <c r="DN12" s="5">
        <f t="shared" si="0"/>
        <v>0.05</v>
      </c>
      <c r="DO12" s="5">
        <f t="shared" si="0"/>
        <v>0.05</v>
      </c>
      <c r="DP12" s="5">
        <f t="shared" si="0"/>
        <v>0.05</v>
      </c>
      <c r="DQ12" s="5">
        <f t="shared" si="0"/>
        <v>0.05</v>
      </c>
      <c r="DR12" s="5">
        <f t="shared" si="0"/>
        <v>0.05</v>
      </c>
      <c r="DS12" s="5">
        <f t="shared" si="0"/>
        <v>0.05</v>
      </c>
      <c r="DT12" s="5">
        <f t="shared" si="0"/>
        <v>0.05</v>
      </c>
      <c r="DU12" s="5">
        <f t="shared" si="0"/>
        <v>0.05</v>
      </c>
      <c r="DV12" s="5">
        <f t="shared" si="0"/>
        <v>0.05</v>
      </c>
      <c r="DW12" s="5">
        <f t="shared" si="0"/>
        <v>0.05</v>
      </c>
    </row>
    <row r="13" spans="1:127" x14ac:dyDescent="0.45">
      <c r="A13" s="250" t="s">
        <v>148</v>
      </c>
      <c r="B13" s="5">
        <f>(1+B12)*(1+$B$6)-1</f>
        <v>0.13360000000000016</v>
      </c>
      <c r="C13" s="5">
        <f t="shared" ref="C13:BN13" si="1">(1+C12)*(1+$B$6)-1</f>
        <v>0.13360000000000016</v>
      </c>
      <c r="D13" s="5">
        <f t="shared" si="1"/>
        <v>0.13360000000000016</v>
      </c>
      <c r="E13" s="5">
        <f t="shared" si="1"/>
        <v>0.13360000000000016</v>
      </c>
      <c r="F13" s="5">
        <f t="shared" si="1"/>
        <v>0.13360000000000016</v>
      </c>
      <c r="G13" s="5">
        <f t="shared" si="1"/>
        <v>0.13360000000000016</v>
      </c>
      <c r="H13" s="5">
        <f t="shared" si="1"/>
        <v>0.13360000000000016</v>
      </c>
      <c r="I13" s="5">
        <f t="shared" si="1"/>
        <v>0.13360000000000016</v>
      </c>
      <c r="J13" s="5">
        <f t="shared" si="1"/>
        <v>0.13360000000000016</v>
      </c>
      <c r="K13" s="5">
        <f t="shared" si="1"/>
        <v>0.13360000000000016</v>
      </c>
      <c r="L13" s="5">
        <f t="shared" si="1"/>
        <v>0.13360000000000016</v>
      </c>
      <c r="M13" s="5">
        <f t="shared" si="1"/>
        <v>0.13360000000000016</v>
      </c>
      <c r="N13" s="5">
        <f t="shared" si="1"/>
        <v>9.2000000000000082E-2</v>
      </c>
      <c r="O13" s="5">
        <f t="shared" si="1"/>
        <v>9.2000000000000082E-2</v>
      </c>
      <c r="P13" s="5">
        <f t="shared" si="1"/>
        <v>9.2000000000000082E-2</v>
      </c>
      <c r="Q13" s="5">
        <f t="shared" si="1"/>
        <v>9.2000000000000082E-2</v>
      </c>
      <c r="R13" s="5">
        <f t="shared" si="1"/>
        <v>9.2000000000000082E-2</v>
      </c>
      <c r="S13" s="5">
        <f t="shared" si="1"/>
        <v>9.2000000000000082E-2</v>
      </c>
      <c r="T13" s="5">
        <f t="shared" si="1"/>
        <v>9.2000000000000082E-2</v>
      </c>
      <c r="U13" s="5">
        <f t="shared" si="1"/>
        <v>9.2000000000000082E-2</v>
      </c>
      <c r="V13" s="5">
        <f t="shared" si="1"/>
        <v>9.2000000000000082E-2</v>
      </c>
      <c r="W13" s="5">
        <f t="shared" si="1"/>
        <v>9.2000000000000082E-2</v>
      </c>
      <c r="X13" s="5">
        <f t="shared" si="1"/>
        <v>9.2000000000000082E-2</v>
      </c>
      <c r="Y13" s="5">
        <f t="shared" si="1"/>
        <v>9.2000000000000082E-2</v>
      </c>
      <c r="Z13" s="5">
        <f t="shared" si="1"/>
        <v>9.2000000000000082E-2</v>
      </c>
      <c r="AA13" s="5">
        <f t="shared" si="1"/>
        <v>9.2000000000000082E-2</v>
      </c>
      <c r="AB13" s="5">
        <f t="shared" si="1"/>
        <v>9.2000000000000082E-2</v>
      </c>
      <c r="AC13" s="5">
        <f t="shared" si="1"/>
        <v>9.2000000000000082E-2</v>
      </c>
      <c r="AD13" s="5">
        <f t="shared" si="1"/>
        <v>9.2000000000000082E-2</v>
      </c>
      <c r="AE13" s="5">
        <f t="shared" si="1"/>
        <v>9.2000000000000082E-2</v>
      </c>
      <c r="AF13" s="5">
        <f t="shared" si="1"/>
        <v>9.2000000000000082E-2</v>
      </c>
      <c r="AG13" s="5">
        <f t="shared" si="1"/>
        <v>9.2000000000000082E-2</v>
      </c>
      <c r="AH13" s="5">
        <f t="shared" si="1"/>
        <v>9.2000000000000082E-2</v>
      </c>
      <c r="AI13" s="5">
        <f t="shared" si="1"/>
        <v>9.2000000000000082E-2</v>
      </c>
      <c r="AJ13" s="5">
        <f t="shared" si="1"/>
        <v>9.2000000000000082E-2</v>
      </c>
      <c r="AK13" s="5">
        <f t="shared" si="1"/>
        <v>9.2000000000000082E-2</v>
      </c>
      <c r="AL13" s="5">
        <f t="shared" si="1"/>
        <v>9.2000000000000082E-2</v>
      </c>
      <c r="AM13" s="5">
        <f t="shared" si="1"/>
        <v>9.2000000000000082E-2</v>
      </c>
      <c r="AN13" s="5">
        <f t="shared" si="1"/>
        <v>9.2000000000000082E-2</v>
      </c>
      <c r="AO13" s="5">
        <f t="shared" si="1"/>
        <v>9.2000000000000082E-2</v>
      </c>
      <c r="AP13" s="5">
        <f t="shared" si="1"/>
        <v>9.2000000000000082E-2</v>
      </c>
      <c r="AQ13" s="5">
        <f t="shared" si="1"/>
        <v>9.2000000000000082E-2</v>
      </c>
      <c r="AR13" s="5">
        <f t="shared" si="1"/>
        <v>9.2000000000000082E-2</v>
      </c>
      <c r="AS13" s="5">
        <f t="shared" si="1"/>
        <v>9.2000000000000082E-2</v>
      </c>
      <c r="AT13" s="5">
        <f t="shared" si="1"/>
        <v>9.2000000000000082E-2</v>
      </c>
      <c r="AU13" s="5">
        <f t="shared" si="1"/>
        <v>9.2000000000000082E-2</v>
      </c>
      <c r="AV13" s="5">
        <f t="shared" si="1"/>
        <v>9.2000000000000082E-2</v>
      </c>
      <c r="AW13" s="5">
        <f t="shared" si="1"/>
        <v>9.2000000000000082E-2</v>
      </c>
      <c r="AX13" s="5">
        <f t="shared" si="1"/>
        <v>9.2000000000000082E-2</v>
      </c>
      <c r="AY13" s="5">
        <f t="shared" si="1"/>
        <v>9.2000000000000082E-2</v>
      </c>
      <c r="AZ13" s="5">
        <f t="shared" si="1"/>
        <v>9.2000000000000082E-2</v>
      </c>
      <c r="BA13" s="5">
        <f t="shared" si="1"/>
        <v>9.2000000000000082E-2</v>
      </c>
      <c r="BB13" s="5">
        <f t="shared" si="1"/>
        <v>9.2000000000000082E-2</v>
      </c>
      <c r="BC13" s="5">
        <f t="shared" si="1"/>
        <v>9.2000000000000082E-2</v>
      </c>
      <c r="BD13" s="5">
        <f t="shared" si="1"/>
        <v>9.2000000000000082E-2</v>
      </c>
      <c r="BE13" s="5">
        <f t="shared" si="1"/>
        <v>9.2000000000000082E-2</v>
      </c>
      <c r="BF13" s="5">
        <f t="shared" si="1"/>
        <v>9.2000000000000082E-2</v>
      </c>
      <c r="BG13" s="5">
        <f t="shared" si="1"/>
        <v>9.2000000000000082E-2</v>
      </c>
      <c r="BH13" s="5">
        <f t="shared" si="1"/>
        <v>9.2000000000000082E-2</v>
      </c>
      <c r="BI13" s="5">
        <f t="shared" si="1"/>
        <v>9.2000000000000082E-2</v>
      </c>
      <c r="BJ13" s="5">
        <f t="shared" si="1"/>
        <v>9.2000000000000082E-2</v>
      </c>
      <c r="BK13" s="5">
        <f t="shared" si="1"/>
        <v>9.2000000000000082E-2</v>
      </c>
      <c r="BL13" s="5">
        <f t="shared" si="1"/>
        <v>9.2000000000000082E-2</v>
      </c>
      <c r="BM13" s="5">
        <f t="shared" si="1"/>
        <v>9.2000000000000082E-2</v>
      </c>
      <c r="BN13" s="5">
        <f t="shared" si="1"/>
        <v>9.2000000000000082E-2</v>
      </c>
      <c r="BO13" s="5">
        <f t="shared" ref="BO13:DW13" si="2">(1+BO12)*(1+$B$6)-1</f>
        <v>9.2000000000000082E-2</v>
      </c>
      <c r="BP13" s="5">
        <f t="shared" si="2"/>
        <v>9.2000000000000082E-2</v>
      </c>
      <c r="BQ13" s="5">
        <f t="shared" si="2"/>
        <v>9.2000000000000082E-2</v>
      </c>
      <c r="BR13" s="5">
        <f t="shared" si="2"/>
        <v>9.2000000000000082E-2</v>
      </c>
      <c r="BS13" s="5">
        <f t="shared" si="2"/>
        <v>9.2000000000000082E-2</v>
      </c>
      <c r="BT13" s="5">
        <f t="shared" si="2"/>
        <v>9.2000000000000082E-2</v>
      </c>
      <c r="BU13" s="5">
        <f t="shared" si="2"/>
        <v>9.2000000000000082E-2</v>
      </c>
      <c r="BV13" s="5">
        <f t="shared" si="2"/>
        <v>9.2000000000000082E-2</v>
      </c>
      <c r="BW13" s="5">
        <f t="shared" si="2"/>
        <v>9.2000000000000082E-2</v>
      </c>
      <c r="BX13" s="5">
        <f t="shared" si="2"/>
        <v>9.2000000000000082E-2</v>
      </c>
      <c r="BY13" s="5">
        <f t="shared" si="2"/>
        <v>9.2000000000000082E-2</v>
      </c>
      <c r="BZ13" s="5">
        <f t="shared" si="2"/>
        <v>9.2000000000000082E-2</v>
      </c>
      <c r="CA13" s="5">
        <f t="shared" si="2"/>
        <v>9.2000000000000082E-2</v>
      </c>
      <c r="CB13" s="5">
        <f t="shared" si="2"/>
        <v>9.2000000000000082E-2</v>
      </c>
      <c r="CC13" s="5">
        <f t="shared" si="2"/>
        <v>9.2000000000000082E-2</v>
      </c>
      <c r="CD13" s="5">
        <f t="shared" si="2"/>
        <v>9.2000000000000082E-2</v>
      </c>
      <c r="CE13" s="5">
        <f t="shared" si="2"/>
        <v>9.2000000000000082E-2</v>
      </c>
      <c r="CF13" s="5">
        <f t="shared" si="2"/>
        <v>9.2000000000000082E-2</v>
      </c>
      <c r="CG13" s="5">
        <f t="shared" si="2"/>
        <v>9.2000000000000082E-2</v>
      </c>
      <c r="CH13" s="5">
        <f t="shared" si="2"/>
        <v>9.2000000000000082E-2</v>
      </c>
      <c r="CI13" s="5">
        <f t="shared" si="2"/>
        <v>9.2000000000000082E-2</v>
      </c>
      <c r="CJ13" s="5">
        <f t="shared" si="2"/>
        <v>9.2000000000000082E-2</v>
      </c>
      <c r="CK13" s="5">
        <f t="shared" si="2"/>
        <v>9.2000000000000082E-2</v>
      </c>
      <c r="CL13" s="5">
        <f t="shared" si="2"/>
        <v>9.2000000000000082E-2</v>
      </c>
      <c r="CM13" s="5">
        <f t="shared" si="2"/>
        <v>9.2000000000000082E-2</v>
      </c>
      <c r="CN13" s="5">
        <f t="shared" si="2"/>
        <v>9.2000000000000082E-2</v>
      </c>
      <c r="CO13" s="5">
        <f t="shared" si="2"/>
        <v>9.2000000000000082E-2</v>
      </c>
      <c r="CP13" s="5">
        <f t="shared" si="2"/>
        <v>9.2000000000000082E-2</v>
      </c>
      <c r="CQ13" s="5">
        <f t="shared" si="2"/>
        <v>9.2000000000000082E-2</v>
      </c>
      <c r="CR13" s="5">
        <f t="shared" si="2"/>
        <v>9.2000000000000082E-2</v>
      </c>
      <c r="CS13" s="5">
        <f t="shared" si="2"/>
        <v>9.2000000000000082E-2</v>
      </c>
      <c r="CT13" s="5">
        <f t="shared" si="2"/>
        <v>9.2000000000000082E-2</v>
      </c>
      <c r="CU13" s="5">
        <f t="shared" si="2"/>
        <v>9.2000000000000082E-2</v>
      </c>
      <c r="CV13" s="5">
        <f t="shared" si="2"/>
        <v>9.2000000000000082E-2</v>
      </c>
      <c r="CW13" s="5">
        <f t="shared" si="2"/>
        <v>9.2000000000000082E-2</v>
      </c>
      <c r="CX13" s="5">
        <f t="shared" si="2"/>
        <v>9.2000000000000082E-2</v>
      </c>
      <c r="CY13" s="5">
        <f t="shared" si="2"/>
        <v>9.2000000000000082E-2</v>
      </c>
      <c r="CZ13" s="5">
        <f t="shared" si="2"/>
        <v>9.2000000000000082E-2</v>
      </c>
      <c r="DA13" s="5">
        <f t="shared" si="2"/>
        <v>9.2000000000000082E-2</v>
      </c>
      <c r="DB13" s="5">
        <f t="shared" si="2"/>
        <v>9.2000000000000082E-2</v>
      </c>
      <c r="DC13" s="5">
        <f t="shared" si="2"/>
        <v>9.2000000000000082E-2</v>
      </c>
      <c r="DD13" s="5">
        <f t="shared" si="2"/>
        <v>9.2000000000000082E-2</v>
      </c>
      <c r="DE13" s="5">
        <f t="shared" si="2"/>
        <v>9.2000000000000082E-2</v>
      </c>
      <c r="DF13" s="5">
        <f t="shared" si="2"/>
        <v>9.2000000000000082E-2</v>
      </c>
      <c r="DG13" s="5">
        <f t="shared" si="2"/>
        <v>9.2000000000000082E-2</v>
      </c>
      <c r="DH13" s="5">
        <f t="shared" si="2"/>
        <v>9.2000000000000082E-2</v>
      </c>
      <c r="DI13" s="5">
        <f t="shared" si="2"/>
        <v>9.2000000000000082E-2</v>
      </c>
      <c r="DJ13" s="5">
        <f t="shared" si="2"/>
        <v>9.2000000000000082E-2</v>
      </c>
      <c r="DK13" s="5">
        <f t="shared" si="2"/>
        <v>9.2000000000000082E-2</v>
      </c>
      <c r="DL13" s="5">
        <f t="shared" si="2"/>
        <v>9.2000000000000082E-2</v>
      </c>
      <c r="DM13" s="5">
        <f t="shared" si="2"/>
        <v>9.2000000000000082E-2</v>
      </c>
      <c r="DN13" s="5">
        <f t="shared" si="2"/>
        <v>9.2000000000000082E-2</v>
      </c>
      <c r="DO13" s="5">
        <f t="shared" si="2"/>
        <v>9.2000000000000082E-2</v>
      </c>
      <c r="DP13" s="5">
        <f t="shared" si="2"/>
        <v>9.2000000000000082E-2</v>
      </c>
      <c r="DQ13" s="5">
        <f t="shared" si="2"/>
        <v>9.2000000000000082E-2</v>
      </c>
      <c r="DR13" s="5">
        <f t="shared" si="2"/>
        <v>9.2000000000000082E-2</v>
      </c>
      <c r="DS13" s="5">
        <f t="shared" si="2"/>
        <v>9.2000000000000082E-2</v>
      </c>
      <c r="DT13" s="5">
        <f t="shared" si="2"/>
        <v>9.2000000000000082E-2</v>
      </c>
      <c r="DU13" s="5">
        <f t="shared" si="2"/>
        <v>9.2000000000000082E-2</v>
      </c>
      <c r="DV13" s="5">
        <f t="shared" si="2"/>
        <v>9.2000000000000082E-2</v>
      </c>
      <c r="DW13" s="5">
        <f t="shared" si="2"/>
        <v>9.2000000000000082E-2</v>
      </c>
    </row>
    <row r="14" spans="1:127" x14ac:dyDescent="0.45">
      <c r="A14" s="250" t="s">
        <v>149</v>
      </c>
      <c r="B14" s="5">
        <f>+(1+B13)^(0.0833333333333333)-1</f>
        <v>1.0504657999398814E-2</v>
      </c>
      <c r="C14" s="5">
        <f t="shared" ref="C14:BN14" si="3">+(1+C13)^(0.0833333333333333)-1</f>
        <v>1.0504657999398814E-2</v>
      </c>
      <c r="D14" s="5">
        <f t="shared" si="3"/>
        <v>1.0504657999398814E-2</v>
      </c>
      <c r="E14" s="5">
        <f t="shared" si="3"/>
        <v>1.0504657999398814E-2</v>
      </c>
      <c r="F14" s="5">
        <f t="shared" si="3"/>
        <v>1.0504657999398814E-2</v>
      </c>
      <c r="G14" s="5">
        <f t="shared" si="3"/>
        <v>1.0504657999398814E-2</v>
      </c>
      <c r="H14" s="5">
        <f t="shared" si="3"/>
        <v>1.0504657999398814E-2</v>
      </c>
      <c r="I14" s="5">
        <f t="shared" si="3"/>
        <v>1.0504657999398814E-2</v>
      </c>
      <c r="J14" s="5">
        <f t="shared" si="3"/>
        <v>1.0504657999398814E-2</v>
      </c>
      <c r="K14" s="5">
        <f t="shared" si="3"/>
        <v>1.0504657999398814E-2</v>
      </c>
      <c r="L14" s="5">
        <f t="shared" si="3"/>
        <v>1.0504657999398814E-2</v>
      </c>
      <c r="M14" s="5">
        <f t="shared" si="3"/>
        <v>1.0504657999398814E-2</v>
      </c>
      <c r="N14" s="5">
        <f t="shared" si="3"/>
        <v>7.3612011869552685E-3</v>
      </c>
      <c r="O14" s="5">
        <f t="shared" si="3"/>
        <v>7.3612011869552685E-3</v>
      </c>
      <c r="P14" s="5">
        <f t="shared" si="3"/>
        <v>7.3612011869552685E-3</v>
      </c>
      <c r="Q14" s="5">
        <f t="shared" si="3"/>
        <v>7.3612011869552685E-3</v>
      </c>
      <c r="R14" s="5">
        <f t="shared" si="3"/>
        <v>7.3612011869552685E-3</v>
      </c>
      <c r="S14" s="5">
        <f t="shared" si="3"/>
        <v>7.3612011869552685E-3</v>
      </c>
      <c r="T14" s="5">
        <f t="shared" si="3"/>
        <v>7.3612011869552685E-3</v>
      </c>
      <c r="U14" s="5">
        <f t="shared" si="3"/>
        <v>7.3612011869552685E-3</v>
      </c>
      <c r="V14" s="5">
        <f t="shared" si="3"/>
        <v>7.3612011869552685E-3</v>
      </c>
      <c r="W14" s="5">
        <f t="shared" si="3"/>
        <v>7.3612011869552685E-3</v>
      </c>
      <c r="X14" s="5">
        <f t="shared" si="3"/>
        <v>7.3612011869552685E-3</v>
      </c>
      <c r="Y14" s="5">
        <f t="shared" si="3"/>
        <v>7.3612011869552685E-3</v>
      </c>
      <c r="Z14" s="5">
        <f t="shared" si="3"/>
        <v>7.3612011869552685E-3</v>
      </c>
      <c r="AA14" s="5">
        <f t="shared" si="3"/>
        <v>7.3612011869552685E-3</v>
      </c>
      <c r="AB14" s="5">
        <f t="shared" si="3"/>
        <v>7.3612011869552685E-3</v>
      </c>
      <c r="AC14" s="5">
        <f t="shared" si="3"/>
        <v>7.3612011869552685E-3</v>
      </c>
      <c r="AD14" s="5">
        <f t="shared" si="3"/>
        <v>7.3612011869552685E-3</v>
      </c>
      <c r="AE14" s="5">
        <f t="shared" si="3"/>
        <v>7.3612011869552685E-3</v>
      </c>
      <c r="AF14" s="5">
        <f t="shared" si="3"/>
        <v>7.3612011869552685E-3</v>
      </c>
      <c r="AG14" s="5">
        <f t="shared" si="3"/>
        <v>7.3612011869552685E-3</v>
      </c>
      <c r="AH14" s="5">
        <f t="shared" si="3"/>
        <v>7.3612011869552685E-3</v>
      </c>
      <c r="AI14" s="5">
        <f t="shared" si="3"/>
        <v>7.3612011869552685E-3</v>
      </c>
      <c r="AJ14" s="5">
        <f t="shared" si="3"/>
        <v>7.3612011869552685E-3</v>
      </c>
      <c r="AK14" s="5">
        <f t="shared" si="3"/>
        <v>7.3612011869552685E-3</v>
      </c>
      <c r="AL14" s="5">
        <f t="shared" si="3"/>
        <v>7.3612011869552685E-3</v>
      </c>
      <c r="AM14" s="5">
        <f t="shared" si="3"/>
        <v>7.3612011869552685E-3</v>
      </c>
      <c r="AN14" s="5">
        <f t="shared" si="3"/>
        <v>7.3612011869552685E-3</v>
      </c>
      <c r="AO14" s="5">
        <f t="shared" si="3"/>
        <v>7.3612011869552685E-3</v>
      </c>
      <c r="AP14" s="5">
        <f t="shared" si="3"/>
        <v>7.3612011869552685E-3</v>
      </c>
      <c r="AQ14" s="5">
        <f t="shared" si="3"/>
        <v>7.3612011869552685E-3</v>
      </c>
      <c r="AR14" s="5">
        <f t="shared" si="3"/>
        <v>7.3612011869552685E-3</v>
      </c>
      <c r="AS14" s="5">
        <f t="shared" si="3"/>
        <v>7.3612011869552685E-3</v>
      </c>
      <c r="AT14" s="5">
        <f t="shared" si="3"/>
        <v>7.3612011869552685E-3</v>
      </c>
      <c r="AU14" s="5">
        <f t="shared" si="3"/>
        <v>7.3612011869552685E-3</v>
      </c>
      <c r="AV14" s="5">
        <f t="shared" si="3"/>
        <v>7.3612011869552685E-3</v>
      </c>
      <c r="AW14" s="5">
        <f t="shared" si="3"/>
        <v>7.3612011869552685E-3</v>
      </c>
      <c r="AX14" s="5">
        <f t="shared" si="3"/>
        <v>7.3612011869552685E-3</v>
      </c>
      <c r="AY14" s="5">
        <f t="shared" si="3"/>
        <v>7.3612011869552685E-3</v>
      </c>
      <c r="AZ14" s="5">
        <f t="shared" si="3"/>
        <v>7.3612011869552685E-3</v>
      </c>
      <c r="BA14" s="5">
        <f t="shared" si="3"/>
        <v>7.3612011869552685E-3</v>
      </c>
      <c r="BB14" s="5">
        <f t="shared" si="3"/>
        <v>7.3612011869552685E-3</v>
      </c>
      <c r="BC14" s="5">
        <f t="shared" si="3"/>
        <v>7.3612011869552685E-3</v>
      </c>
      <c r="BD14" s="5">
        <f t="shared" si="3"/>
        <v>7.3612011869552685E-3</v>
      </c>
      <c r="BE14" s="5">
        <f t="shared" si="3"/>
        <v>7.3612011869552685E-3</v>
      </c>
      <c r="BF14" s="5">
        <f t="shared" si="3"/>
        <v>7.3612011869552685E-3</v>
      </c>
      <c r="BG14" s="5">
        <f t="shared" si="3"/>
        <v>7.3612011869552685E-3</v>
      </c>
      <c r="BH14" s="5">
        <f t="shared" si="3"/>
        <v>7.3612011869552685E-3</v>
      </c>
      <c r="BI14" s="5">
        <f t="shared" si="3"/>
        <v>7.3612011869552685E-3</v>
      </c>
      <c r="BJ14" s="5">
        <f t="shared" si="3"/>
        <v>7.3612011869552685E-3</v>
      </c>
      <c r="BK14" s="5">
        <f t="shared" si="3"/>
        <v>7.3612011869552685E-3</v>
      </c>
      <c r="BL14" s="5">
        <f t="shared" si="3"/>
        <v>7.3612011869552685E-3</v>
      </c>
      <c r="BM14" s="5">
        <f t="shared" si="3"/>
        <v>7.3612011869552685E-3</v>
      </c>
      <c r="BN14" s="5">
        <f t="shared" si="3"/>
        <v>7.3612011869552685E-3</v>
      </c>
      <c r="BO14" s="5">
        <f t="shared" ref="BO14:DW14" si="4">+(1+BO13)^(0.0833333333333333)-1</f>
        <v>7.3612011869552685E-3</v>
      </c>
      <c r="BP14" s="5">
        <f t="shared" si="4"/>
        <v>7.3612011869552685E-3</v>
      </c>
      <c r="BQ14" s="5">
        <f t="shared" si="4"/>
        <v>7.3612011869552685E-3</v>
      </c>
      <c r="BR14" s="5">
        <f t="shared" si="4"/>
        <v>7.3612011869552685E-3</v>
      </c>
      <c r="BS14" s="5">
        <f t="shared" si="4"/>
        <v>7.3612011869552685E-3</v>
      </c>
      <c r="BT14" s="5">
        <f t="shared" si="4"/>
        <v>7.3612011869552685E-3</v>
      </c>
      <c r="BU14" s="5">
        <f t="shared" si="4"/>
        <v>7.3612011869552685E-3</v>
      </c>
      <c r="BV14" s="5">
        <f t="shared" si="4"/>
        <v>7.3612011869552685E-3</v>
      </c>
      <c r="BW14" s="5">
        <f t="shared" si="4"/>
        <v>7.3612011869552685E-3</v>
      </c>
      <c r="BX14" s="5">
        <f t="shared" si="4"/>
        <v>7.3612011869552685E-3</v>
      </c>
      <c r="BY14" s="5">
        <f t="shared" si="4"/>
        <v>7.3612011869552685E-3</v>
      </c>
      <c r="BZ14" s="5">
        <f t="shared" si="4"/>
        <v>7.3612011869552685E-3</v>
      </c>
      <c r="CA14" s="5">
        <f t="shared" si="4"/>
        <v>7.3612011869552685E-3</v>
      </c>
      <c r="CB14" s="5">
        <f t="shared" si="4"/>
        <v>7.3612011869552685E-3</v>
      </c>
      <c r="CC14" s="5">
        <f t="shared" si="4"/>
        <v>7.3612011869552685E-3</v>
      </c>
      <c r="CD14" s="5">
        <f t="shared" si="4"/>
        <v>7.3612011869552685E-3</v>
      </c>
      <c r="CE14" s="5">
        <f t="shared" si="4"/>
        <v>7.3612011869552685E-3</v>
      </c>
      <c r="CF14" s="5">
        <f t="shared" si="4"/>
        <v>7.3612011869552685E-3</v>
      </c>
      <c r="CG14" s="5">
        <f t="shared" si="4"/>
        <v>7.3612011869552685E-3</v>
      </c>
      <c r="CH14" s="5">
        <f t="shared" si="4"/>
        <v>7.3612011869552685E-3</v>
      </c>
      <c r="CI14" s="5">
        <f t="shared" si="4"/>
        <v>7.3612011869552685E-3</v>
      </c>
      <c r="CJ14" s="5">
        <f t="shared" si="4"/>
        <v>7.3612011869552685E-3</v>
      </c>
      <c r="CK14" s="5">
        <f t="shared" si="4"/>
        <v>7.3612011869552685E-3</v>
      </c>
      <c r="CL14" s="5">
        <f t="shared" si="4"/>
        <v>7.3612011869552685E-3</v>
      </c>
      <c r="CM14" s="5">
        <f t="shared" si="4"/>
        <v>7.3612011869552685E-3</v>
      </c>
      <c r="CN14" s="5">
        <f t="shared" si="4"/>
        <v>7.3612011869552685E-3</v>
      </c>
      <c r="CO14" s="5">
        <f t="shared" si="4"/>
        <v>7.3612011869552685E-3</v>
      </c>
      <c r="CP14" s="5">
        <f t="shared" si="4"/>
        <v>7.3612011869552685E-3</v>
      </c>
      <c r="CQ14" s="5">
        <f t="shared" si="4"/>
        <v>7.3612011869552685E-3</v>
      </c>
      <c r="CR14" s="5">
        <f t="shared" si="4"/>
        <v>7.3612011869552685E-3</v>
      </c>
      <c r="CS14" s="5">
        <f t="shared" si="4"/>
        <v>7.3612011869552685E-3</v>
      </c>
      <c r="CT14" s="5">
        <f t="shared" si="4"/>
        <v>7.3612011869552685E-3</v>
      </c>
      <c r="CU14" s="5">
        <f t="shared" si="4"/>
        <v>7.3612011869552685E-3</v>
      </c>
      <c r="CV14" s="5">
        <f t="shared" si="4"/>
        <v>7.3612011869552685E-3</v>
      </c>
      <c r="CW14" s="5">
        <f t="shared" si="4"/>
        <v>7.3612011869552685E-3</v>
      </c>
      <c r="CX14" s="5">
        <f t="shared" si="4"/>
        <v>7.3612011869552685E-3</v>
      </c>
      <c r="CY14" s="5">
        <f t="shared" si="4"/>
        <v>7.3612011869552685E-3</v>
      </c>
      <c r="CZ14" s="5">
        <f t="shared" si="4"/>
        <v>7.3612011869552685E-3</v>
      </c>
      <c r="DA14" s="5">
        <f t="shared" si="4"/>
        <v>7.3612011869552685E-3</v>
      </c>
      <c r="DB14" s="5">
        <f t="shared" si="4"/>
        <v>7.3612011869552685E-3</v>
      </c>
      <c r="DC14" s="5">
        <f t="shared" si="4"/>
        <v>7.3612011869552685E-3</v>
      </c>
      <c r="DD14" s="5">
        <f t="shared" si="4"/>
        <v>7.3612011869552685E-3</v>
      </c>
      <c r="DE14" s="5">
        <f t="shared" si="4"/>
        <v>7.3612011869552685E-3</v>
      </c>
      <c r="DF14" s="5">
        <f t="shared" si="4"/>
        <v>7.3612011869552685E-3</v>
      </c>
      <c r="DG14" s="5">
        <f t="shared" si="4"/>
        <v>7.3612011869552685E-3</v>
      </c>
      <c r="DH14" s="5">
        <f t="shared" si="4"/>
        <v>7.3612011869552685E-3</v>
      </c>
      <c r="DI14" s="5">
        <f t="shared" si="4"/>
        <v>7.3612011869552685E-3</v>
      </c>
      <c r="DJ14" s="5">
        <f t="shared" si="4"/>
        <v>7.3612011869552685E-3</v>
      </c>
      <c r="DK14" s="5">
        <f t="shared" si="4"/>
        <v>7.3612011869552685E-3</v>
      </c>
      <c r="DL14" s="5">
        <f t="shared" si="4"/>
        <v>7.3612011869552685E-3</v>
      </c>
      <c r="DM14" s="5">
        <f t="shared" si="4"/>
        <v>7.3612011869552685E-3</v>
      </c>
      <c r="DN14" s="5">
        <f t="shared" si="4"/>
        <v>7.3612011869552685E-3</v>
      </c>
      <c r="DO14" s="5">
        <f t="shared" si="4"/>
        <v>7.3612011869552685E-3</v>
      </c>
      <c r="DP14" s="5">
        <f t="shared" si="4"/>
        <v>7.3612011869552685E-3</v>
      </c>
      <c r="DQ14" s="5">
        <f t="shared" si="4"/>
        <v>7.3612011869552685E-3</v>
      </c>
      <c r="DR14" s="5">
        <f t="shared" si="4"/>
        <v>7.3612011869552685E-3</v>
      </c>
      <c r="DS14" s="5">
        <f t="shared" si="4"/>
        <v>7.3612011869552685E-3</v>
      </c>
      <c r="DT14" s="5">
        <f t="shared" si="4"/>
        <v>7.3612011869552685E-3</v>
      </c>
      <c r="DU14" s="5">
        <f t="shared" si="4"/>
        <v>7.3612011869552685E-3</v>
      </c>
      <c r="DV14" s="5">
        <f t="shared" si="4"/>
        <v>7.3612011869552685E-3</v>
      </c>
      <c r="DW14" s="5">
        <f t="shared" si="4"/>
        <v>7.3612011869552685E-3</v>
      </c>
    </row>
    <row r="15" spans="1:127" x14ac:dyDescent="0.45">
      <c r="E15" s="11"/>
      <c r="F15" s="4"/>
    </row>
    <row r="16" spans="1:127" ht="23.25" customHeight="1" x14ac:dyDescent="0.6">
      <c r="A16" s="354" t="s">
        <v>150</v>
      </c>
      <c r="B16" s="354"/>
      <c r="C16" s="354"/>
      <c r="D16" s="12"/>
      <c r="E16" s="12"/>
      <c r="F16" s="13"/>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c r="DF16" s="12"/>
      <c r="DG16" s="12"/>
      <c r="DH16" s="12"/>
      <c r="DI16" s="12"/>
      <c r="DJ16" s="12"/>
      <c r="DK16" s="12"/>
      <c r="DL16" s="12"/>
      <c r="DM16" s="12"/>
      <c r="DN16" s="12"/>
      <c r="DO16" s="12"/>
      <c r="DP16" s="12"/>
      <c r="DQ16" s="12"/>
      <c r="DR16" s="12"/>
      <c r="DS16" s="12"/>
      <c r="DT16" s="12"/>
      <c r="DU16" s="12"/>
      <c r="DV16" s="12"/>
      <c r="DW16" s="12"/>
    </row>
    <row r="17" spans="1:127" x14ac:dyDescent="0.45">
      <c r="A17" s="2"/>
      <c r="H17">
        <v>0</v>
      </c>
      <c r="N17">
        <v>84</v>
      </c>
      <c r="O17">
        <f t="shared" ref="O17:BU17" si="5">+N17-1</f>
        <v>83</v>
      </c>
      <c r="P17">
        <f t="shared" si="5"/>
        <v>82</v>
      </c>
      <c r="Q17">
        <f t="shared" si="5"/>
        <v>81</v>
      </c>
      <c r="R17">
        <f t="shared" si="5"/>
        <v>80</v>
      </c>
      <c r="S17">
        <f t="shared" si="5"/>
        <v>79</v>
      </c>
      <c r="T17">
        <f t="shared" si="5"/>
        <v>78</v>
      </c>
      <c r="U17">
        <f t="shared" si="5"/>
        <v>77</v>
      </c>
      <c r="V17">
        <f t="shared" si="5"/>
        <v>76</v>
      </c>
      <c r="W17">
        <f t="shared" si="5"/>
        <v>75</v>
      </c>
      <c r="X17">
        <f t="shared" si="5"/>
        <v>74</v>
      </c>
      <c r="Y17">
        <f t="shared" si="5"/>
        <v>73</v>
      </c>
      <c r="Z17">
        <f t="shared" si="5"/>
        <v>72</v>
      </c>
      <c r="AA17">
        <f t="shared" si="5"/>
        <v>71</v>
      </c>
      <c r="AB17">
        <f t="shared" si="5"/>
        <v>70</v>
      </c>
      <c r="AC17">
        <f t="shared" si="5"/>
        <v>69</v>
      </c>
      <c r="AD17">
        <f t="shared" si="5"/>
        <v>68</v>
      </c>
      <c r="AE17">
        <f t="shared" si="5"/>
        <v>67</v>
      </c>
      <c r="AF17">
        <f t="shared" si="5"/>
        <v>66</v>
      </c>
      <c r="AG17">
        <f t="shared" si="5"/>
        <v>65</v>
      </c>
      <c r="AH17">
        <f t="shared" si="5"/>
        <v>64</v>
      </c>
      <c r="AI17">
        <f t="shared" si="5"/>
        <v>63</v>
      </c>
      <c r="AJ17">
        <f t="shared" si="5"/>
        <v>62</v>
      </c>
      <c r="AK17">
        <f t="shared" si="5"/>
        <v>61</v>
      </c>
      <c r="AL17">
        <f t="shared" si="5"/>
        <v>60</v>
      </c>
      <c r="AM17">
        <f t="shared" si="5"/>
        <v>59</v>
      </c>
      <c r="AN17">
        <f t="shared" si="5"/>
        <v>58</v>
      </c>
      <c r="AO17">
        <f t="shared" si="5"/>
        <v>57</v>
      </c>
      <c r="AP17">
        <f t="shared" si="5"/>
        <v>56</v>
      </c>
      <c r="AQ17">
        <f t="shared" si="5"/>
        <v>55</v>
      </c>
      <c r="AR17">
        <f t="shared" si="5"/>
        <v>54</v>
      </c>
      <c r="AS17">
        <f t="shared" si="5"/>
        <v>53</v>
      </c>
      <c r="AT17">
        <f t="shared" si="5"/>
        <v>52</v>
      </c>
      <c r="AU17">
        <f t="shared" si="5"/>
        <v>51</v>
      </c>
      <c r="AV17">
        <f t="shared" si="5"/>
        <v>50</v>
      </c>
      <c r="AW17">
        <f t="shared" si="5"/>
        <v>49</v>
      </c>
      <c r="AX17">
        <f t="shared" si="5"/>
        <v>48</v>
      </c>
      <c r="AY17">
        <f t="shared" si="5"/>
        <v>47</v>
      </c>
      <c r="AZ17">
        <f t="shared" si="5"/>
        <v>46</v>
      </c>
      <c r="BA17">
        <f t="shared" si="5"/>
        <v>45</v>
      </c>
      <c r="BB17">
        <f t="shared" si="5"/>
        <v>44</v>
      </c>
      <c r="BC17">
        <f t="shared" si="5"/>
        <v>43</v>
      </c>
      <c r="BD17">
        <f t="shared" si="5"/>
        <v>42</v>
      </c>
      <c r="BE17">
        <f t="shared" si="5"/>
        <v>41</v>
      </c>
      <c r="BF17">
        <f t="shared" si="5"/>
        <v>40</v>
      </c>
      <c r="BG17">
        <f t="shared" si="5"/>
        <v>39</v>
      </c>
      <c r="BH17">
        <f t="shared" si="5"/>
        <v>38</v>
      </c>
      <c r="BI17">
        <f t="shared" si="5"/>
        <v>37</v>
      </c>
      <c r="BJ17">
        <f t="shared" si="5"/>
        <v>36</v>
      </c>
      <c r="BK17">
        <f t="shared" si="5"/>
        <v>35</v>
      </c>
      <c r="BL17">
        <f t="shared" si="5"/>
        <v>34</v>
      </c>
      <c r="BM17">
        <f t="shared" si="5"/>
        <v>33</v>
      </c>
      <c r="BN17">
        <f t="shared" si="5"/>
        <v>32</v>
      </c>
      <c r="BO17">
        <f t="shared" si="5"/>
        <v>31</v>
      </c>
      <c r="BP17">
        <f t="shared" si="5"/>
        <v>30</v>
      </c>
      <c r="BQ17">
        <f t="shared" si="5"/>
        <v>29</v>
      </c>
      <c r="BR17">
        <f t="shared" si="5"/>
        <v>28</v>
      </c>
      <c r="BS17">
        <f t="shared" si="5"/>
        <v>27</v>
      </c>
      <c r="BT17">
        <f t="shared" si="5"/>
        <v>26</v>
      </c>
      <c r="BU17">
        <f t="shared" si="5"/>
        <v>25</v>
      </c>
      <c r="BV17">
        <f t="shared" ref="BV17:DW17" si="6">+BU17-1</f>
        <v>24</v>
      </c>
      <c r="BW17">
        <f t="shared" si="6"/>
        <v>23</v>
      </c>
      <c r="BX17">
        <f t="shared" si="6"/>
        <v>22</v>
      </c>
      <c r="BY17">
        <f t="shared" si="6"/>
        <v>21</v>
      </c>
      <c r="BZ17">
        <f t="shared" si="6"/>
        <v>20</v>
      </c>
      <c r="CA17">
        <f t="shared" si="6"/>
        <v>19</v>
      </c>
      <c r="CB17">
        <f t="shared" si="6"/>
        <v>18</v>
      </c>
      <c r="CC17">
        <f t="shared" si="6"/>
        <v>17</v>
      </c>
      <c r="CD17">
        <f t="shared" si="6"/>
        <v>16</v>
      </c>
      <c r="CE17">
        <f t="shared" si="6"/>
        <v>15</v>
      </c>
      <c r="CF17">
        <f t="shared" si="6"/>
        <v>14</v>
      </c>
      <c r="CG17">
        <f t="shared" si="6"/>
        <v>13</v>
      </c>
      <c r="CH17">
        <f t="shared" si="6"/>
        <v>12</v>
      </c>
      <c r="CI17">
        <f t="shared" si="6"/>
        <v>11</v>
      </c>
      <c r="CJ17">
        <f t="shared" si="6"/>
        <v>10</v>
      </c>
      <c r="CK17">
        <f t="shared" si="6"/>
        <v>9</v>
      </c>
      <c r="CL17">
        <f t="shared" si="6"/>
        <v>8</v>
      </c>
      <c r="CM17">
        <f t="shared" si="6"/>
        <v>7</v>
      </c>
      <c r="CN17">
        <f t="shared" si="6"/>
        <v>6</v>
      </c>
      <c r="CO17">
        <f t="shared" si="6"/>
        <v>5</v>
      </c>
      <c r="CP17">
        <f t="shared" si="6"/>
        <v>4</v>
      </c>
      <c r="CQ17">
        <f t="shared" si="6"/>
        <v>3</v>
      </c>
      <c r="CR17">
        <f t="shared" si="6"/>
        <v>2</v>
      </c>
      <c r="CS17">
        <f t="shared" si="6"/>
        <v>1</v>
      </c>
      <c r="CT17">
        <f t="shared" si="6"/>
        <v>0</v>
      </c>
      <c r="CU17">
        <f t="shared" si="6"/>
        <v>-1</v>
      </c>
      <c r="CV17">
        <f t="shared" si="6"/>
        <v>-2</v>
      </c>
      <c r="CW17">
        <f t="shared" si="6"/>
        <v>-3</v>
      </c>
      <c r="CX17">
        <f t="shared" si="6"/>
        <v>-4</v>
      </c>
      <c r="CY17">
        <f t="shared" si="6"/>
        <v>-5</v>
      </c>
      <c r="CZ17">
        <f t="shared" si="6"/>
        <v>-6</v>
      </c>
      <c r="DA17">
        <f t="shared" si="6"/>
        <v>-7</v>
      </c>
      <c r="DB17">
        <f t="shared" si="6"/>
        <v>-8</v>
      </c>
      <c r="DC17">
        <f t="shared" si="6"/>
        <v>-9</v>
      </c>
      <c r="DD17">
        <f t="shared" si="6"/>
        <v>-10</v>
      </c>
      <c r="DE17">
        <f t="shared" si="6"/>
        <v>-11</v>
      </c>
      <c r="DF17">
        <f t="shared" si="6"/>
        <v>-12</v>
      </c>
      <c r="DG17">
        <f t="shared" si="6"/>
        <v>-13</v>
      </c>
      <c r="DH17">
        <f t="shared" si="6"/>
        <v>-14</v>
      </c>
      <c r="DI17">
        <f t="shared" si="6"/>
        <v>-15</v>
      </c>
      <c r="DJ17">
        <f t="shared" si="6"/>
        <v>-16</v>
      </c>
      <c r="DK17">
        <f t="shared" si="6"/>
        <v>-17</v>
      </c>
      <c r="DL17">
        <f t="shared" si="6"/>
        <v>-18</v>
      </c>
      <c r="DM17">
        <f t="shared" si="6"/>
        <v>-19</v>
      </c>
      <c r="DN17">
        <f t="shared" si="6"/>
        <v>-20</v>
      </c>
      <c r="DO17">
        <f t="shared" si="6"/>
        <v>-21</v>
      </c>
      <c r="DP17">
        <f t="shared" si="6"/>
        <v>-22</v>
      </c>
      <c r="DQ17">
        <f t="shared" si="6"/>
        <v>-23</v>
      </c>
      <c r="DR17">
        <f t="shared" si="6"/>
        <v>-24</v>
      </c>
      <c r="DS17">
        <f t="shared" si="6"/>
        <v>-25</v>
      </c>
      <c r="DT17">
        <f t="shared" si="6"/>
        <v>-26</v>
      </c>
      <c r="DU17">
        <f t="shared" si="6"/>
        <v>-27</v>
      </c>
      <c r="DV17">
        <f t="shared" si="6"/>
        <v>-28</v>
      </c>
      <c r="DW17">
        <f t="shared" si="6"/>
        <v>-29</v>
      </c>
    </row>
    <row r="18" spans="1:127" ht="18.899999999999999" thickBot="1" x14ac:dyDescent="0.55000000000000004">
      <c r="A18" s="79" t="s">
        <v>151</v>
      </c>
      <c r="B18" s="79">
        <v>1</v>
      </c>
      <c r="C18" s="79">
        <v>2</v>
      </c>
      <c r="D18" s="79">
        <v>3</v>
      </c>
      <c r="E18" s="79">
        <v>4</v>
      </c>
      <c r="F18" s="79">
        <v>5</v>
      </c>
      <c r="G18" s="79">
        <v>6</v>
      </c>
      <c r="H18" s="79">
        <v>7</v>
      </c>
      <c r="I18" s="79">
        <v>8</v>
      </c>
      <c r="J18" s="79">
        <v>9</v>
      </c>
      <c r="K18" s="79">
        <v>10</v>
      </c>
      <c r="L18" s="79">
        <v>11</v>
      </c>
      <c r="M18" s="79">
        <v>12</v>
      </c>
      <c r="N18" s="79">
        <v>13</v>
      </c>
      <c r="O18" s="79">
        <v>14</v>
      </c>
      <c r="P18" s="79">
        <v>15</v>
      </c>
      <c r="Q18" s="79">
        <v>16</v>
      </c>
      <c r="R18" s="79">
        <v>17</v>
      </c>
      <c r="S18" s="79">
        <v>18</v>
      </c>
      <c r="T18" s="79">
        <v>19</v>
      </c>
      <c r="U18" s="79">
        <v>20</v>
      </c>
      <c r="V18" s="79">
        <v>21</v>
      </c>
      <c r="W18" s="79">
        <v>22</v>
      </c>
      <c r="X18" s="79">
        <v>23</v>
      </c>
      <c r="Y18" s="79">
        <v>24</v>
      </c>
      <c r="Z18" s="79">
        <v>25</v>
      </c>
      <c r="AA18" s="79">
        <v>26</v>
      </c>
      <c r="AB18" s="79">
        <v>27</v>
      </c>
      <c r="AC18" s="79">
        <v>28</v>
      </c>
      <c r="AD18" s="79">
        <v>29</v>
      </c>
      <c r="AE18" s="79">
        <v>30</v>
      </c>
      <c r="AF18" s="79">
        <v>31</v>
      </c>
      <c r="AG18" s="79">
        <v>32</v>
      </c>
      <c r="AH18" s="79">
        <v>33</v>
      </c>
      <c r="AI18" s="79">
        <v>34</v>
      </c>
      <c r="AJ18" s="79">
        <v>35</v>
      </c>
      <c r="AK18" s="79">
        <v>36</v>
      </c>
      <c r="AL18" s="79">
        <v>37</v>
      </c>
      <c r="AM18" s="79">
        <v>38</v>
      </c>
      <c r="AN18" s="79">
        <v>39</v>
      </c>
      <c r="AO18" s="79">
        <v>40</v>
      </c>
      <c r="AP18" s="79">
        <v>41</v>
      </c>
      <c r="AQ18" s="79">
        <v>42</v>
      </c>
      <c r="AR18" s="79">
        <v>43</v>
      </c>
      <c r="AS18" s="79">
        <v>44</v>
      </c>
      <c r="AT18" s="79">
        <v>45</v>
      </c>
      <c r="AU18" s="79">
        <v>46</v>
      </c>
      <c r="AV18" s="79">
        <v>47</v>
      </c>
      <c r="AW18" s="79">
        <v>48</v>
      </c>
      <c r="AX18" s="79">
        <v>49</v>
      </c>
      <c r="AY18" s="79">
        <v>50</v>
      </c>
      <c r="AZ18" s="79">
        <v>51</v>
      </c>
      <c r="BA18" s="79">
        <v>52</v>
      </c>
      <c r="BB18" s="79">
        <v>53</v>
      </c>
      <c r="BC18" s="79">
        <v>54</v>
      </c>
      <c r="BD18" s="79">
        <v>55</v>
      </c>
      <c r="BE18" s="79">
        <v>56</v>
      </c>
      <c r="BF18" s="79">
        <v>57</v>
      </c>
      <c r="BG18" s="79">
        <v>58</v>
      </c>
      <c r="BH18" s="79">
        <v>59</v>
      </c>
      <c r="BI18" s="79">
        <v>60</v>
      </c>
      <c r="BJ18" s="79">
        <v>61</v>
      </c>
      <c r="BK18" s="79">
        <v>62</v>
      </c>
      <c r="BL18" s="79">
        <v>63</v>
      </c>
      <c r="BM18" s="79">
        <v>64</v>
      </c>
      <c r="BN18" s="79">
        <v>65</v>
      </c>
      <c r="BO18" s="79">
        <v>66</v>
      </c>
      <c r="BP18" s="79">
        <v>67</v>
      </c>
      <c r="BQ18" s="79">
        <v>68</v>
      </c>
      <c r="BR18" s="79">
        <v>69</v>
      </c>
      <c r="BS18" s="79">
        <v>70</v>
      </c>
      <c r="BT18" s="79">
        <v>71</v>
      </c>
      <c r="BU18" s="79">
        <v>72</v>
      </c>
      <c r="BV18" s="79">
        <v>73</v>
      </c>
      <c r="BW18" s="79">
        <v>74</v>
      </c>
      <c r="BX18" s="79">
        <v>75</v>
      </c>
      <c r="BY18" s="79">
        <v>76</v>
      </c>
      <c r="BZ18" s="79">
        <v>77</v>
      </c>
      <c r="CA18" s="79">
        <v>78</v>
      </c>
      <c r="CB18" s="79">
        <v>79</v>
      </c>
      <c r="CC18" s="79">
        <v>80</v>
      </c>
      <c r="CD18" s="79">
        <v>81</v>
      </c>
      <c r="CE18" s="79">
        <v>82</v>
      </c>
      <c r="CF18" s="79">
        <v>83</v>
      </c>
      <c r="CG18" s="79">
        <v>84</v>
      </c>
      <c r="CH18" s="79">
        <v>85</v>
      </c>
      <c r="CI18" s="79">
        <v>86</v>
      </c>
      <c r="CJ18" s="79">
        <v>87</v>
      </c>
      <c r="CK18" s="79">
        <v>88</v>
      </c>
      <c r="CL18" s="79">
        <v>89</v>
      </c>
      <c r="CM18" s="79">
        <v>90</v>
      </c>
      <c r="CN18" s="79">
        <v>91</v>
      </c>
      <c r="CO18" s="79">
        <v>92</v>
      </c>
      <c r="CP18" s="79">
        <v>93</v>
      </c>
      <c r="CQ18" s="79">
        <v>94</v>
      </c>
      <c r="CR18" s="79">
        <v>95</v>
      </c>
      <c r="CS18" s="79">
        <v>96</v>
      </c>
      <c r="CT18" s="79">
        <v>97</v>
      </c>
      <c r="CU18" s="79">
        <v>98</v>
      </c>
      <c r="CV18" s="79">
        <v>99</v>
      </c>
      <c r="CW18" s="79">
        <v>100</v>
      </c>
      <c r="CX18" s="79">
        <v>101</v>
      </c>
      <c r="CY18" s="79">
        <v>102</v>
      </c>
      <c r="CZ18" s="79">
        <v>103</v>
      </c>
      <c r="DA18" s="79">
        <v>104</v>
      </c>
      <c r="DB18" s="79">
        <v>105</v>
      </c>
      <c r="DC18" s="79">
        <v>106</v>
      </c>
      <c r="DD18" s="79">
        <v>107</v>
      </c>
      <c r="DE18" s="79">
        <v>108</v>
      </c>
      <c r="DF18" s="79">
        <v>109</v>
      </c>
      <c r="DG18" s="79">
        <v>110</v>
      </c>
      <c r="DH18" s="79">
        <v>111</v>
      </c>
      <c r="DI18" s="79">
        <v>112</v>
      </c>
      <c r="DJ18" s="79">
        <v>113</v>
      </c>
      <c r="DK18" s="79">
        <v>114</v>
      </c>
      <c r="DL18" s="79">
        <v>115</v>
      </c>
      <c r="DM18" s="79">
        <v>116</v>
      </c>
      <c r="DN18" s="79">
        <v>117</v>
      </c>
      <c r="DO18" s="79">
        <v>118</v>
      </c>
      <c r="DP18" s="80">
        <v>119</v>
      </c>
      <c r="DQ18" s="81">
        <v>120</v>
      </c>
      <c r="DR18" s="81">
        <v>121</v>
      </c>
      <c r="DS18" s="81">
        <v>122</v>
      </c>
      <c r="DT18" s="81">
        <v>123</v>
      </c>
      <c r="DU18" s="81">
        <v>124</v>
      </c>
      <c r="DV18" s="81">
        <v>125</v>
      </c>
      <c r="DW18" s="81">
        <v>126</v>
      </c>
    </row>
    <row r="19" spans="1:127" x14ac:dyDescent="0.45">
      <c r="A19" s="77" t="s">
        <v>152</v>
      </c>
      <c r="B19" s="72">
        <v>0</v>
      </c>
      <c r="C19" s="72">
        <f>B23</f>
        <v>0</v>
      </c>
      <c r="D19" s="72">
        <f t="shared" ref="D19:BO19" si="7">C23</f>
        <v>0</v>
      </c>
      <c r="E19" s="72">
        <f t="shared" si="7"/>
        <v>0</v>
      </c>
      <c r="F19" s="72">
        <f t="shared" si="7"/>
        <v>0</v>
      </c>
      <c r="G19" s="72">
        <f>+B4</f>
        <v>2625000000</v>
      </c>
      <c r="H19" s="72">
        <f t="shared" si="7"/>
        <v>2625000000</v>
      </c>
      <c r="I19" s="72">
        <f>H23</f>
        <v>2625000000</v>
      </c>
      <c r="J19" s="72">
        <f t="shared" si="7"/>
        <v>2625000000</v>
      </c>
      <c r="K19" s="72">
        <f t="shared" si="7"/>
        <v>2625000000</v>
      </c>
      <c r="L19" s="72">
        <f t="shared" si="7"/>
        <v>2625000000</v>
      </c>
      <c r="M19" s="72">
        <f t="shared" si="7"/>
        <v>2625000000</v>
      </c>
      <c r="N19" s="72">
        <f t="shared" si="7"/>
        <v>2625000000</v>
      </c>
      <c r="O19" s="72">
        <f t="shared" si="7"/>
        <v>2625000000</v>
      </c>
      <c r="P19" s="72">
        <f t="shared" si="7"/>
        <v>2601944574.9850464</v>
      </c>
      <c r="Q19" s="72">
        <f t="shared" si="7"/>
        <v>2578719434.3481069</v>
      </c>
      <c r="R19" s="72">
        <f t="shared" si="7"/>
        <v>2555323328.7783437</v>
      </c>
      <c r="S19" s="72">
        <f t="shared" si="7"/>
        <v>2531754999.7684903</v>
      </c>
      <c r="T19" s="72">
        <f t="shared" si="7"/>
        <v>2508013179.5471549</v>
      </c>
      <c r="U19" s="72">
        <f t="shared" si="7"/>
        <v>2484096591.0106258</v>
      </c>
      <c r="V19" s="72">
        <f t="shared" si="7"/>
        <v>2460003947.6541739</v>
      </c>
      <c r="W19" s="72">
        <f t="shared" si="7"/>
        <v>2435733953.5028491</v>
      </c>
      <c r="X19" s="72">
        <f t="shared" si="7"/>
        <v>2411285303.0417705</v>
      </c>
      <c r="Y19" s="72">
        <f t="shared" si="7"/>
        <v>2386656681.1458983</v>
      </c>
      <c r="Z19" s="72">
        <f t="shared" si="7"/>
        <v>2361846763.0092931</v>
      </c>
      <c r="AA19" s="72">
        <f t="shared" si="7"/>
        <v>2336854214.0738525</v>
      </c>
      <c r="AB19" s="72">
        <f t="shared" si="7"/>
        <v>2311677689.9575233</v>
      </c>
      <c r="AC19" s="72">
        <f t="shared" si="7"/>
        <v>2286315836.3819857</v>
      </c>
      <c r="AD19" s="72">
        <f t="shared" si="7"/>
        <v>2260767289.0998044</v>
      </c>
      <c r="AE19" s="72">
        <f t="shared" si="7"/>
        <v>2235030673.8210444</v>
      </c>
      <c r="AF19" s="72">
        <f t="shared" si="7"/>
        <v>2209104606.1393461</v>
      </c>
      <c r="AG19" s="72">
        <f t="shared" si="7"/>
        <v>2182987691.4574566</v>
      </c>
      <c r="AH19" s="72">
        <f t="shared" si="7"/>
        <v>2156678524.9122109</v>
      </c>
      <c r="AI19" s="72">
        <f t="shared" si="7"/>
        <v>2130175691.2989645</v>
      </c>
      <c r="AJ19" s="72">
        <f t="shared" si="7"/>
        <v>2103477764.9954667</v>
      </c>
      <c r="AK19" s="72">
        <f t="shared" si="7"/>
        <v>2076583309.8851743</v>
      </c>
      <c r="AL19" s="72">
        <f t="shared" si="7"/>
        <v>2049490879.2800014</v>
      </c>
      <c r="AM19" s="72">
        <f t="shared" si="7"/>
        <v>2022199015.8425002</v>
      </c>
      <c r="AN19" s="72">
        <f t="shared" si="7"/>
        <v>1994706251.5074687</v>
      </c>
      <c r="AO19" s="72">
        <f t="shared" si="7"/>
        <v>1967011107.4029815</v>
      </c>
      <c r="AP19" s="72">
        <f t="shared" si="7"/>
        <v>1939112093.7708395</v>
      </c>
      <c r="AQ19" s="72">
        <f t="shared" si="7"/>
        <v>1911007709.8864336</v>
      </c>
      <c r="AR19" s="72">
        <f t="shared" si="7"/>
        <v>1882696443.9780192</v>
      </c>
      <c r="AS19" s="72">
        <f t="shared" si="7"/>
        <v>1854176773.1453958</v>
      </c>
      <c r="AT19" s="72">
        <f t="shared" si="7"/>
        <v>1825447163.2779875</v>
      </c>
      <c r="AU19" s="72">
        <f t="shared" si="7"/>
        <v>1796506068.9723225</v>
      </c>
      <c r="AV19" s="72">
        <f t="shared" si="7"/>
        <v>1767351933.4489028</v>
      </c>
      <c r="AW19" s="72">
        <f t="shared" si="7"/>
        <v>1737983188.4684637</v>
      </c>
      <c r="AX19" s="72">
        <f t="shared" si="7"/>
        <v>1708398254.2476149</v>
      </c>
      <c r="AY19" s="72">
        <f t="shared" si="7"/>
        <v>1678595539.3738637</v>
      </c>
      <c r="AZ19" s="72">
        <f t="shared" si="7"/>
        <v>1648573440.7200093</v>
      </c>
      <c r="BA19" s="72">
        <f t="shared" si="7"/>
        <v>1618330343.3579094</v>
      </c>
      <c r="BB19" s="72">
        <f t="shared" si="7"/>
        <v>1587864620.4716103</v>
      </c>
      <c r="BC19" s="72">
        <f t="shared" si="7"/>
        <v>1557174633.269839</v>
      </c>
      <c r="BD19" s="72">
        <f t="shared" si="7"/>
        <v>1526258730.8978505</v>
      </c>
      <c r="BE19" s="72">
        <f t="shared" si="7"/>
        <v>1495115250.3486257</v>
      </c>
      <c r="BF19" s="72">
        <f t="shared" si="7"/>
        <v>1463742516.3734159</v>
      </c>
      <c r="BG19" s="72">
        <f t="shared" si="7"/>
        <v>1432138841.3916297</v>
      </c>
      <c r="BH19" s="72">
        <f t="shared" si="7"/>
        <v>1400302525.4000554</v>
      </c>
      <c r="BI19" s="72">
        <f t="shared" si="7"/>
        <v>1368231855.8814156</v>
      </c>
      <c r="BJ19" s="72">
        <f t="shared" si="7"/>
        <v>1335925107.7122488</v>
      </c>
      <c r="BK19" s="72">
        <f t="shared" si="7"/>
        <v>1303380543.0701125</v>
      </c>
      <c r="BL19" s="72">
        <f t="shared" si="7"/>
        <v>1270596411.3401036</v>
      </c>
      <c r="BM19" s="72">
        <f t="shared" si="7"/>
        <v>1237570949.0206904</v>
      </c>
      <c r="BN19" s="72">
        <f t="shared" si="7"/>
        <v>1204302379.6288519</v>
      </c>
      <c r="BO19" s="72">
        <f t="shared" si="7"/>
        <v>1170788913.6045177</v>
      </c>
      <c r="BP19" s="72">
        <f t="shared" ref="BP19" si="8">BO23</f>
        <v>1137028748.2143064</v>
      </c>
      <c r="BQ19" s="72">
        <f t="shared" ref="BQ19" si="9">BP23</f>
        <v>1103020067.4545527</v>
      </c>
      <c r="BR19" s="72">
        <f t="shared" ref="BR19" si="10">BQ23</f>
        <v>1068761041.9536235</v>
      </c>
      <c r="BS19" s="72">
        <f t="shared" ref="BS19" si="11">BR23</f>
        <v>1034249828.8735131</v>
      </c>
      <c r="BT19" s="72">
        <f t="shared" ref="BT19" si="12">BS23</f>
        <v>999484571.81071401</v>
      </c>
      <c r="BU19" s="72">
        <f t="shared" ref="BU19" si="13">BT23</f>
        <v>964463400.69635952</v>
      </c>
      <c r="BV19" s="72">
        <f t="shared" ref="BV19" si="14">BU23</f>
        <v>929184431.69562948</v>
      </c>
      <c r="BW19" s="72">
        <f t="shared" ref="BW19" si="15">BV23</f>
        <v>893645767.1064167</v>
      </c>
      <c r="BX19" s="72">
        <f t="shared" ref="BX19" si="16">BW23</f>
        <v>857845495.25724697</v>
      </c>
      <c r="BY19" s="72">
        <f t="shared" ref="BY19" si="17">BX23</f>
        <v>821781690.40444779</v>
      </c>
      <c r="BZ19" s="72">
        <f t="shared" ref="BZ19" si="18">BY23</f>
        <v>785452412.62856007</v>
      </c>
      <c r="CA19" s="72">
        <f t="shared" ref="CA19" si="19">BZ23</f>
        <v>748855707.72998726</v>
      </c>
      <c r="CB19" s="72">
        <f t="shared" ref="CB19" si="20">CA23</f>
        <v>711989607.12387645</v>
      </c>
      <c r="CC19" s="72">
        <f t="shared" ref="CC19" si="21">CB23</f>
        <v>674852127.73422551</v>
      </c>
      <c r="CD19" s="72">
        <f t="shared" ref="CD19" si="22">CC23</f>
        <v>637441271.88721097</v>
      </c>
      <c r="CE19" s="72">
        <f t="shared" ref="CE19" si="23">CD23</f>
        <v>599755027.20373034</v>
      </c>
      <c r="CF19" s="72">
        <f t="shared" ref="CF19" si="24">CE23</f>
        <v>561791366.49115384</v>
      </c>
      <c r="CG19" s="72">
        <f t="shared" ref="CG19" si="25">CF23</f>
        <v>523548247.63427871</v>
      </c>
      <c r="CH19" s="72">
        <f t="shared" ref="CH19" si="26">CG23</f>
        <v>485023613.4854815</v>
      </c>
      <c r="CI19" s="72">
        <f t="shared" ref="CI19" si="27">CH23</f>
        <v>446215391.7540611</v>
      </c>
      <c r="CJ19" s="72">
        <f t="shared" ref="CJ19" si="28">CI23</f>
        <v>407121494.89476776</v>
      </c>
      <c r="CK19" s="72">
        <f t="shared" ref="CK19" si="29">CJ23</f>
        <v>367739819.99551111</v>
      </c>
      <c r="CL19" s="72">
        <f t="shared" ref="CL19" si="30">CK23</f>
        <v>328068248.66424179</v>
      </c>
      <c r="CM19" s="72">
        <f t="shared" ref="CM19" si="31">CL23</f>
        <v>288104646.91500032</v>
      </c>
      <c r="CN19" s="72">
        <f t="shared" ref="CN19" si="32">CM23</f>
        <v>247846865.05312729</v>
      </c>
      <c r="CO19" s="72">
        <f t="shared" ref="CO19" si="33">CN23</f>
        <v>207292737.55962849</v>
      </c>
      <c r="CP19" s="72">
        <f t="shared" ref="CP19" si="34">CO23</f>
        <v>166440082.97468859</v>
      </c>
      <c r="CQ19" s="72">
        <f t="shared" ref="CQ19" si="35">CP23</f>
        <v>125286703.78032777</v>
      </c>
      <c r="CR19" s="72">
        <f t="shared" ref="CR19" si="36">CQ23</f>
        <v>83830386.282194197</v>
      </c>
      <c r="CS19" s="72">
        <f t="shared" ref="CS19" si="37">CR23</f>
        <v>42068900.490486562</v>
      </c>
      <c r="CT19" s="72">
        <v>0</v>
      </c>
      <c r="CU19" s="72">
        <v>0</v>
      </c>
      <c r="CV19" s="72">
        <v>0</v>
      </c>
      <c r="CW19" s="72">
        <v>0</v>
      </c>
      <c r="CX19" s="72">
        <v>0</v>
      </c>
      <c r="CY19" s="72">
        <v>0</v>
      </c>
      <c r="CZ19" s="72">
        <v>0</v>
      </c>
      <c r="DA19" s="72">
        <v>0</v>
      </c>
      <c r="DB19" s="72">
        <v>0</v>
      </c>
      <c r="DC19" s="72">
        <v>0</v>
      </c>
      <c r="DD19" s="72">
        <v>0</v>
      </c>
      <c r="DE19" s="72">
        <v>0</v>
      </c>
      <c r="DF19" s="72">
        <v>0</v>
      </c>
      <c r="DG19" s="72">
        <v>0</v>
      </c>
      <c r="DH19" s="72">
        <v>0</v>
      </c>
      <c r="DI19" s="72">
        <v>0</v>
      </c>
      <c r="DJ19" s="72">
        <v>0</v>
      </c>
      <c r="DK19" s="72">
        <v>0</v>
      </c>
      <c r="DL19" s="72">
        <v>0</v>
      </c>
      <c r="DM19" s="72">
        <v>0</v>
      </c>
      <c r="DN19" s="72">
        <v>0</v>
      </c>
      <c r="DO19" s="72">
        <v>0</v>
      </c>
      <c r="DP19" s="72">
        <v>0</v>
      </c>
      <c r="DQ19" s="72">
        <v>0</v>
      </c>
      <c r="DR19" s="72"/>
      <c r="DS19" s="72"/>
      <c r="DT19" s="72"/>
      <c r="DU19" s="72"/>
      <c r="DV19" s="72"/>
      <c r="DW19" s="72"/>
    </row>
    <row r="20" spans="1:127" x14ac:dyDescent="0.45">
      <c r="A20" s="77" t="s">
        <v>153</v>
      </c>
      <c r="B20" s="72">
        <v>0</v>
      </c>
      <c r="C20" s="72">
        <v>0</v>
      </c>
      <c r="D20" s="72">
        <v>0</v>
      </c>
      <c r="E20" s="72">
        <v>0</v>
      </c>
      <c r="F20" s="72">
        <v>0</v>
      </c>
      <c r="G20" s="72">
        <v>0</v>
      </c>
      <c r="H20" s="72">
        <v>0</v>
      </c>
      <c r="I20" s="72">
        <v>0</v>
      </c>
      <c r="J20" s="72">
        <v>0</v>
      </c>
      <c r="K20" s="72">
        <v>0</v>
      </c>
      <c r="L20" s="72">
        <v>0</v>
      </c>
      <c r="M20" s="72">
        <v>0</v>
      </c>
      <c r="N20" s="72">
        <v>0</v>
      </c>
      <c r="O20" s="72">
        <f t="shared" ref="O20:BN20" si="38">+O22-O21</f>
        <v>23055425.014953475</v>
      </c>
      <c r="P20" s="72">
        <f t="shared" si="38"/>
        <v>23225140.636939317</v>
      </c>
      <c r="Q20" s="72">
        <f t="shared" si="38"/>
        <v>23396105.569763154</v>
      </c>
      <c r="R20" s="72">
        <f t="shared" si="38"/>
        <v>23568329.009853426</v>
      </c>
      <c r="S20" s="72">
        <f t="shared" si="38"/>
        <v>23741820.22133531</v>
      </c>
      <c r="T20" s="72">
        <f t="shared" si="38"/>
        <v>23916588.536529075</v>
      </c>
      <c r="U20" s="72">
        <f t="shared" si="38"/>
        <v>24092643.3564521</v>
      </c>
      <c r="V20" s="72">
        <f t="shared" si="38"/>
        <v>24269994.151324514</v>
      </c>
      <c r="W20" s="72">
        <f t="shared" si="38"/>
        <v>24448650.461078629</v>
      </c>
      <c r="X20" s="72">
        <f t="shared" si="38"/>
        <v>24628621.895872176</v>
      </c>
      <c r="Y20" s="72">
        <f t="shared" si="38"/>
        <v>24809918.13660514</v>
      </c>
      <c r="Z20" s="72">
        <f t="shared" si="38"/>
        <v>24992548.935440574</v>
      </c>
      <c r="AA20" s="72">
        <f t="shared" si="38"/>
        <v>25176524.116329178</v>
      </c>
      <c r="AB20" s="72">
        <f t="shared" si="38"/>
        <v>25361853.575537715</v>
      </c>
      <c r="AC20" s="72">
        <f t="shared" si="38"/>
        <v>25548547.282181349</v>
      </c>
      <c r="AD20" s="72">
        <f t="shared" si="38"/>
        <v>25736615.278759919</v>
      </c>
      <c r="AE20" s="72">
        <f t="shared" si="38"/>
        <v>25926067.681698143</v>
      </c>
      <c r="AF20" s="72">
        <f t="shared" si="38"/>
        <v>26116914.681889735</v>
      </c>
      <c r="AG20" s="72">
        <f t="shared" si="38"/>
        <v>26309166.545245677</v>
      </c>
      <c r="AH20" s="72">
        <f t="shared" si="38"/>
        <v>26502833.613246351</v>
      </c>
      <c r="AI20" s="72">
        <f t="shared" si="38"/>
        <v>26697926.303497851</v>
      </c>
      <c r="AJ20" s="72">
        <f t="shared" si="38"/>
        <v>26894455.110292412</v>
      </c>
      <c r="AK20" s="72">
        <f t="shared" si="38"/>
        <v>27092430.605172805</v>
      </c>
      <c r="AL20" s="72">
        <f t="shared" si="38"/>
        <v>27291863.437501106</v>
      </c>
      <c r="AM20" s="72">
        <f t="shared" si="38"/>
        <v>27492764.335031454</v>
      </c>
      <c r="AN20" s="72">
        <f t="shared" si="38"/>
        <v>27695144.104487166</v>
      </c>
      <c r="AO20" s="72">
        <f t="shared" si="38"/>
        <v>27899013.632142015</v>
      </c>
      <c r="AP20" s="72">
        <f t="shared" si="38"/>
        <v>28104383.884405822</v>
      </c>
      <c r="AQ20" s="72">
        <f t="shared" si="38"/>
        <v>28311265.908414356</v>
      </c>
      <c r="AR20" s="72">
        <f t="shared" si="38"/>
        <v>28519670.832623582</v>
      </c>
      <c r="AS20" s="72">
        <f t="shared" si="38"/>
        <v>28729609.867408272</v>
      </c>
      <c r="AT20" s="72">
        <f t="shared" si="38"/>
        <v>28941094.305664994</v>
      </c>
      <c r="AU20" s="72">
        <f t="shared" si="38"/>
        <v>29154135.523419637</v>
      </c>
      <c r="AV20" s="72">
        <f t="shared" si="38"/>
        <v>29368744.98043929</v>
      </c>
      <c r="AW20" s="72">
        <f t="shared" si="38"/>
        <v>29584934.220848694</v>
      </c>
      <c r="AX20" s="72">
        <f t="shared" si="38"/>
        <v>29802714.87375119</v>
      </c>
      <c r="AY20" s="72">
        <f t="shared" si="38"/>
        <v>30022098.653854344</v>
      </c>
      <c r="AZ20" s="72">
        <f t="shared" si="38"/>
        <v>30243097.362099983</v>
      </c>
      <c r="BA20" s="72">
        <f t="shared" si="38"/>
        <v>30465722.886299081</v>
      </c>
      <c r="BB20" s="72">
        <f t="shared" si="38"/>
        <v>30689987.201771155</v>
      </c>
      <c r="BC20" s="72">
        <f t="shared" si="38"/>
        <v>30915902.371988468</v>
      </c>
      <c r="BD20" s="72">
        <f t="shared" si="38"/>
        <v>31143480.549224943</v>
      </c>
      <c r="BE20" s="72">
        <f t="shared" si="38"/>
        <v>31372733.975209817</v>
      </c>
      <c r="BF20" s="72">
        <f t="shared" si="38"/>
        <v>31603674.981786162</v>
      </c>
      <c r="BG20" s="72">
        <f t="shared" si="38"/>
        <v>31836315.991574243</v>
      </c>
      <c r="BH20" s="72">
        <f t="shared" si="38"/>
        <v>32070669.518639691</v>
      </c>
      <c r="BI20" s="72">
        <f t="shared" si="38"/>
        <v>32306748.169166747</v>
      </c>
      <c r="BJ20" s="72">
        <f t="shared" si="38"/>
        <v>32544564.642136283</v>
      </c>
      <c r="BK20" s="72">
        <f t="shared" si="38"/>
        <v>32784131.730008919</v>
      </c>
      <c r="BL20" s="72">
        <f t="shared" si="38"/>
        <v>33025462.319413166</v>
      </c>
      <c r="BM20" s="72">
        <f t="shared" si="38"/>
        <v>33268569.391838577</v>
      </c>
      <c r="BN20" s="72">
        <f t="shared" si="38"/>
        <v>33513466.024334081</v>
      </c>
      <c r="BO20" s="72">
        <f>+BO22-BO21</f>
        <v>33760165.390211388</v>
      </c>
      <c r="BP20" s="72">
        <f t="shared" ref="BP20:CI20" si="39">+BP22-BP21</f>
        <v>34008680.759753615</v>
      </c>
      <c r="BQ20" s="72">
        <f t="shared" si="39"/>
        <v>34259025.500929102</v>
      </c>
      <c r="BR20" s="72">
        <f t="shared" si="39"/>
        <v>34511213.080110461</v>
      </c>
      <c r="BS20" s="72">
        <f t="shared" si="39"/>
        <v>34765257.062799044</v>
      </c>
      <c r="BT20" s="72">
        <f t="shared" si="39"/>
        <v>35021171.114354528</v>
      </c>
      <c r="BU20" s="72">
        <f t="shared" si="39"/>
        <v>35278969.000730067</v>
      </c>
      <c r="BV20" s="72">
        <f t="shared" si="39"/>
        <v>35538664.589212805</v>
      </c>
      <c r="BW20" s="72">
        <f t="shared" si="39"/>
        <v>35800271.849169731</v>
      </c>
      <c r="BX20" s="72">
        <f t="shared" si="39"/>
        <v>36063804.852799155</v>
      </c>
      <c r="BY20" s="72">
        <f t="shared" si="39"/>
        <v>36329277.775887698</v>
      </c>
      <c r="BZ20" s="72">
        <f t="shared" si="39"/>
        <v>36596704.898572803</v>
      </c>
      <c r="CA20" s="72">
        <f t="shared" si="39"/>
        <v>36866100.606110819</v>
      </c>
      <c r="CB20" s="72">
        <f t="shared" si="39"/>
        <v>37137479.389650933</v>
      </c>
      <c r="CC20" s="72">
        <f t="shared" si="39"/>
        <v>37410855.847014561</v>
      </c>
      <c r="CD20" s="72">
        <f t="shared" si="39"/>
        <v>37686244.68348062</v>
      </c>
      <c r="CE20" s="72">
        <f t="shared" si="39"/>
        <v>37963660.712576546</v>
      </c>
      <c r="CF20" s="72">
        <f t="shared" si="39"/>
        <v>38243118.856875129</v>
      </c>
      <c r="CG20" s="72">
        <f t="shared" si="39"/>
        <v>38524634.148797229</v>
      </c>
      <c r="CH20" s="72">
        <f t="shared" si="39"/>
        <v>38808221.731420375</v>
      </c>
      <c r="CI20" s="72">
        <f t="shared" si="39"/>
        <v>39093896.859293319</v>
      </c>
      <c r="CJ20" s="72">
        <f t="shared" ref="CJ20" si="40">+CJ22-CJ21</f>
        <v>39381674.899256669</v>
      </c>
      <c r="CK20" s="72">
        <f t="shared" ref="CK20" si="41">+CK22-CK21</f>
        <v>39671571.331269354</v>
      </c>
      <c r="CL20" s="72">
        <f t="shared" ref="CL20" si="42">+CL22-CL21</f>
        <v>39963601.749241479</v>
      </c>
      <c r="CM20" s="72">
        <f t="shared" ref="CM20" si="43">+CM22-CM21</f>
        <v>40257781.861873016</v>
      </c>
      <c r="CN20" s="72">
        <f t="shared" ref="CN20" si="44">+CN22-CN21</f>
        <v>40554127.49349881</v>
      </c>
      <c r="CO20" s="72">
        <f t="shared" ref="CO20" si="45">+CO22-CO21</f>
        <v>40852654.58493989</v>
      </c>
      <c r="CP20" s="72">
        <f t="shared" ref="CP20" si="46">+CP22-CP21</f>
        <v>41153379.19436083</v>
      </c>
      <c r="CQ20" s="72">
        <f t="shared" ref="CQ20" si="47">+CQ22-CQ21</f>
        <v>41456317.49813357</v>
      </c>
      <c r="CR20" s="72">
        <f t="shared" ref="CR20" si="48">+CR22-CR21</f>
        <v>41761485.791707635</v>
      </c>
      <c r="CS20" s="72">
        <f t="shared" ref="CS20" si="49">+CS22-CS21</f>
        <v>42068900.490486562</v>
      </c>
      <c r="CT20" s="72">
        <v>0</v>
      </c>
      <c r="CU20" s="72">
        <v>0</v>
      </c>
      <c r="CV20" s="72">
        <v>0</v>
      </c>
      <c r="CW20" s="72">
        <v>0</v>
      </c>
      <c r="CX20" s="72">
        <v>0</v>
      </c>
      <c r="CY20" s="72">
        <v>0</v>
      </c>
      <c r="CZ20" s="72">
        <v>0</v>
      </c>
      <c r="DA20" s="72">
        <v>0</v>
      </c>
      <c r="DB20" s="72">
        <v>0</v>
      </c>
      <c r="DC20" s="72">
        <v>0</v>
      </c>
      <c r="DD20" s="72">
        <v>0</v>
      </c>
      <c r="DE20" s="72">
        <v>0</v>
      </c>
      <c r="DF20" s="72">
        <v>0</v>
      </c>
      <c r="DG20" s="72">
        <v>0</v>
      </c>
      <c r="DH20" s="72">
        <v>0</v>
      </c>
      <c r="DI20" s="72">
        <v>0</v>
      </c>
      <c r="DJ20" s="72">
        <v>0</v>
      </c>
      <c r="DK20" s="72">
        <v>0</v>
      </c>
      <c r="DL20" s="72">
        <v>0</v>
      </c>
      <c r="DM20" s="72">
        <v>0</v>
      </c>
      <c r="DN20" s="72">
        <v>0</v>
      </c>
      <c r="DO20" s="72">
        <v>0</v>
      </c>
      <c r="DP20" s="72">
        <v>0</v>
      </c>
      <c r="DQ20" s="72">
        <v>0</v>
      </c>
      <c r="DR20" s="72"/>
      <c r="DS20" s="72"/>
      <c r="DT20" s="72"/>
      <c r="DU20" s="72"/>
      <c r="DV20" s="72"/>
      <c r="DW20" s="72"/>
    </row>
    <row r="21" spans="1:127" x14ac:dyDescent="0.45">
      <c r="A21" s="77" t="s">
        <v>154</v>
      </c>
      <c r="B21" s="72">
        <f>B19*B14</f>
        <v>0</v>
      </c>
      <c r="C21" s="72">
        <f t="shared" ref="C21:E21" si="50">C19*C14</f>
        <v>0</v>
      </c>
      <c r="D21" s="72">
        <f>D19*D14</f>
        <v>0</v>
      </c>
      <c r="E21" s="72">
        <f t="shared" si="50"/>
        <v>0</v>
      </c>
      <c r="F21" s="72">
        <f>F19*F14</f>
        <v>0</v>
      </c>
      <c r="G21" s="72">
        <f>G19*G14</f>
        <v>27574727.248421889</v>
      </c>
      <c r="H21" s="72">
        <f>H19*H14</f>
        <v>27574727.248421889</v>
      </c>
      <c r="I21" s="72">
        <f t="shared" ref="I21:BO21" si="51">H23*I14</f>
        <v>27574727.248421889</v>
      </c>
      <c r="J21" s="72">
        <f t="shared" si="51"/>
        <v>27574727.248421889</v>
      </c>
      <c r="K21" s="72">
        <f t="shared" si="51"/>
        <v>27574727.248421889</v>
      </c>
      <c r="L21" s="72">
        <f t="shared" si="51"/>
        <v>27574727.248421889</v>
      </c>
      <c r="M21" s="72">
        <f t="shared" si="51"/>
        <v>27574727.248421889</v>
      </c>
      <c r="N21" s="72">
        <f t="shared" si="51"/>
        <v>19323153.115757581</v>
      </c>
      <c r="O21" s="72">
        <f t="shared" si="51"/>
        <v>19323153.115757581</v>
      </c>
      <c r="P21" s="72">
        <f t="shared" si="51"/>
        <v>19153437.493771747</v>
      </c>
      <c r="Q21" s="72">
        <f t="shared" si="51"/>
        <v>18982472.560947903</v>
      </c>
      <c r="R21" s="72">
        <f t="shared" si="51"/>
        <v>18810249.12085763</v>
      </c>
      <c r="S21" s="72">
        <f t="shared" si="51"/>
        <v>18636757.909375746</v>
      </c>
      <c r="T21" s="72">
        <f t="shared" si="51"/>
        <v>18461989.594181973</v>
      </c>
      <c r="U21" s="72">
        <f t="shared" si="51"/>
        <v>18285934.774258956</v>
      </c>
      <c r="V21" s="72">
        <f t="shared" si="51"/>
        <v>18108583.979386549</v>
      </c>
      <c r="W21" s="72">
        <f t="shared" si="51"/>
        <v>17929927.66963242</v>
      </c>
      <c r="X21" s="72">
        <f t="shared" si="51"/>
        <v>17749956.234838873</v>
      </c>
      <c r="Y21" s="72">
        <f t="shared" si="51"/>
        <v>17568659.994105909</v>
      </c>
      <c r="Z21" s="72">
        <f t="shared" si="51"/>
        <v>17386029.195270468</v>
      </c>
      <c r="AA21" s="72">
        <f t="shared" si="51"/>
        <v>17202054.014381863</v>
      </c>
      <c r="AB21" s="72">
        <f t="shared" si="51"/>
        <v>17016724.555173334</v>
      </c>
      <c r="AC21" s="72">
        <f t="shared" si="51"/>
        <v>16830030.8485297</v>
      </c>
      <c r="AD21" s="72">
        <f t="shared" si="51"/>
        <v>16641962.851951124</v>
      </c>
      <c r="AE21" s="72">
        <f t="shared" si="51"/>
        <v>16452510.449012905</v>
      </c>
      <c r="AF21" s="72">
        <f t="shared" si="51"/>
        <v>16261663.448821306</v>
      </c>
      <c r="AG21" s="72">
        <f t="shared" si="51"/>
        <v>16069411.585465372</v>
      </c>
      <c r="AH21" s="72">
        <f t="shared" si="51"/>
        <v>15875744.517464705</v>
      </c>
      <c r="AI21" s="72">
        <f t="shared" si="51"/>
        <v>15680651.827213198</v>
      </c>
      <c r="AJ21" s="72">
        <f t="shared" si="51"/>
        <v>15484123.020418644</v>
      </c>
      <c r="AK21" s="72">
        <f t="shared" si="51"/>
        <v>15286147.525538245</v>
      </c>
      <c r="AL21" s="72">
        <f t="shared" si="51"/>
        <v>15086714.693209942</v>
      </c>
      <c r="AM21" s="72">
        <f t="shared" si="51"/>
        <v>14885813.795679588</v>
      </c>
      <c r="AN21" s="72">
        <f t="shared" si="51"/>
        <v>14683434.026223874</v>
      </c>
      <c r="AO21" s="72">
        <f t="shared" si="51"/>
        <v>14479564.498569025</v>
      </c>
      <c r="AP21" s="72">
        <f t="shared" si="51"/>
        <v>14274194.24630522</v>
      </c>
      <c r="AQ21" s="72">
        <f t="shared" si="51"/>
        <v>14067312.222296685</v>
      </c>
      <c r="AR21" s="72">
        <f t="shared" si="51"/>
        <v>13858907.298087459</v>
      </c>
      <c r="AS21" s="72">
        <f t="shared" si="51"/>
        <v>13648968.263302777</v>
      </c>
      <c r="AT21" s="72">
        <f t="shared" si="51"/>
        <v>13437483.825046049</v>
      </c>
      <c r="AU21" s="72">
        <f t="shared" si="51"/>
        <v>13224442.607291404</v>
      </c>
      <c r="AV21" s="72">
        <f t="shared" si="51"/>
        <v>13009833.150271753</v>
      </c>
      <c r="AW21" s="72">
        <f t="shared" si="51"/>
        <v>12793643.909862356</v>
      </c>
      <c r="AX21" s="72">
        <f t="shared" si="51"/>
        <v>12575863.256959852</v>
      </c>
      <c r="AY21" s="72">
        <f t="shared" si="51"/>
        <v>12356479.476856705</v>
      </c>
      <c r="AZ21" s="72">
        <f t="shared" si="51"/>
        <v>12135480.768611064</v>
      </c>
      <c r="BA21" s="72">
        <f t="shared" si="51"/>
        <v>11912855.24441197</v>
      </c>
      <c r="BB21" s="72">
        <f t="shared" si="51"/>
        <v>11688590.928939894</v>
      </c>
      <c r="BC21" s="72">
        <f t="shared" si="51"/>
        <v>11462675.758722574</v>
      </c>
      <c r="BD21" s="72">
        <f t="shared" si="51"/>
        <v>11235097.581486098</v>
      </c>
      <c r="BE21" s="72">
        <f t="shared" si="51"/>
        <v>11005844.155501226</v>
      </c>
      <c r="BF21" s="72">
        <f t="shared" si="51"/>
        <v>10774903.148924882</v>
      </c>
      <c r="BG21" s="72">
        <f t="shared" si="51"/>
        <v>10542262.139136808</v>
      </c>
      <c r="BH21" s="72">
        <f t="shared" si="51"/>
        <v>10307908.612071348</v>
      </c>
      <c r="BI21" s="72">
        <f t="shared" si="51"/>
        <v>10071829.961544286</v>
      </c>
      <c r="BJ21" s="72">
        <f t="shared" si="51"/>
        <v>9834013.4885747507</v>
      </c>
      <c r="BK21" s="72">
        <f t="shared" si="51"/>
        <v>9594446.4007021151</v>
      </c>
      <c r="BL21" s="72">
        <f t="shared" si="51"/>
        <v>9353115.8112978749</v>
      </c>
      <c r="BM21" s="72">
        <f t="shared" si="51"/>
        <v>9110008.7388724647</v>
      </c>
      <c r="BN21" s="72">
        <f t="shared" si="51"/>
        <v>8865112.106376959</v>
      </c>
      <c r="BO21" s="72">
        <f t="shared" si="51"/>
        <v>8618412.7404996455</v>
      </c>
      <c r="BP21" s="72">
        <f t="shared" ref="BP21" si="52">BO23*BP14</f>
        <v>8369897.3709574146</v>
      </c>
      <c r="BQ21" s="72">
        <f t="shared" ref="BQ21" si="53">BP23*BQ14</f>
        <v>8119552.6297819335</v>
      </c>
      <c r="BR21" s="72">
        <f t="shared" ref="BR21" si="54">BQ23*BR14</f>
        <v>7867365.0506005632</v>
      </c>
      <c r="BS21" s="72">
        <f t="shared" ref="BS21" si="55">BR23*BS14</f>
        <v>7613321.0679119881</v>
      </c>
      <c r="BT21" s="72">
        <f t="shared" ref="BT21" si="56">BS23*BT14</f>
        <v>7357407.0163565064</v>
      </c>
      <c r="BU21" s="72">
        <f t="shared" ref="BU21" si="57">BT23*BU14</f>
        <v>7099609.1299809562</v>
      </c>
      <c r="BV21" s="72">
        <f t="shared" ref="BV21" si="58">BU23*BV14</f>
        <v>6839913.5414982243</v>
      </c>
      <c r="BW21" s="72">
        <f t="shared" ref="BW21" si="59">BV23*BW14</f>
        <v>6578306.2815413056</v>
      </c>
      <c r="BX21" s="72">
        <f t="shared" ref="BX21" si="60">BW23*BX14</f>
        <v>6314773.2779118763</v>
      </c>
      <c r="BY21" s="72">
        <f t="shared" ref="BY21" si="61">BX23*BY14</f>
        <v>6049300.3548233276</v>
      </c>
      <c r="BZ21" s="72">
        <f t="shared" ref="BZ21" si="62">BY23*BZ14</f>
        <v>5781873.2321382361</v>
      </c>
      <c r="CA21" s="72">
        <f t="shared" ref="CA21" si="63">BZ23*CA14</f>
        <v>5512477.5246002097</v>
      </c>
      <c r="CB21" s="72">
        <f t="shared" ref="CB21" si="64">CA23*CB14</f>
        <v>5241098.7410600949</v>
      </c>
      <c r="CC21" s="72">
        <f t="shared" ref="CC21" si="65">CB23*CC14</f>
        <v>4967722.2836964689</v>
      </c>
      <c r="CD21" s="72">
        <f t="shared" ref="CD21" si="66">CC23*CD14</f>
        <v>4692333.4472304136</v>
      </c>
      <c r="CE21" s="72">
        <f t="shared" ref="CE21" si="67">CD23*CE14</f>
        <v>4414917.4181344891</v>
      </c>
      <c r="CF21" s="72">
        <f t="shared" ref="CF21" si="68">CE23*CF14</f>
        <v>4135459.273835904</v>
      </c>
      <c r="CG21" s="72">
        <f t="shared" ref="CG21" si="69">CF23*CG14</f>
        <v>3853943.9819138031</v>
      </c>
      <c r="CH21" s="72">
        <f t="shared" ref="CH21" si="70">CG23*CH14</f>
        <v>3570356.3992906599</v>
      </c>
      <c r="CI21" s="72">
        <f t="shared" ref="CI21" si="71">CH23*CI14</f>
        <v>3284681.2714177049</v>
      </c>
      <c r="CJ21" s="72">
        <f t="shared" ref="CJ21" si="72">CI23*CJ14</f>
        <v>2996903.2314543677</v>
      </c>
      <c r="CK21" s="72">
        <f t="shared" ref="CK21" si="73">CJ23*CK14</f>
        <v>2707006.7994416733</v>
      </c>
      <c r="CL21" s="72">
        <f t="shared" ref="CL21" si="74">CK23*CL14</f>
        <v>2414976.3814695529</v>
      </c>
      <c r="CM21" s="72">
        <f t="shared" ref="CM21" si="75">CL23*CM14</f>
        <v>2120796.2688380289</v>
      </c>
      <c r="CN21" s="72">
        <f t="shared" ref="CN21" si="76">CM23*CN14</f>
        <v>1824450.6372122229</v>
      </c>
      <c r="CO21" s="72">
        <f t="shared" ref="CO21" si="77">CN23*CO14</f>
        <v>1525923.5457711441</v>
      </c>
      <c r="CP21" s="72">
        <f t="shared" ref="CP21" si="78">CO23*CP14</f>
        <v>1225198.936350211</v>
      </c>
      <c r="CQ21" s="72">
        <f t="shared" ref="CQ21" si="79">CP23*CQ14</f>
        <v>922260.63257746189</v>
      </c>
      <c r="CR21" s="72">
        <f t="shared" ref="CR21" si="80">CQ23*CR14</f>
        <v>617092.33900340658</v>
      </c>
      <c r="CS21" s="72">
        <f t="shared" ref="CS21" si="81">CR23*CS14</f>
        <v>309677.64022447274</v>
      </c>
      <c r="CT21" s="72">
        <v>0</v>
      </c>
      <c r="CU21" s="72">
        <v>0</v>
      </c>
      <c r="CV21" s="72">
        <v>0</v>
      </c>
      <c r="CW21" s="72">
        <v>0</v>
      </c>
      <c r="CX21" s="72">
        <v>0</v>
      </c>
      <c r="CY21" s="72">
        <v>0</v>
      </c>
      <c r="CZ21" s="72">
        <v>0</v>
      </c>
      <c r="DA21" s="72">
        <v>0</v>
      </c>
      <c r="DB21" s="72">
        <v>0</v>
      </c>
      <c r="DC21" s="72">
        <v>0</v>
      </c>
      <c r="DD21" s="72">
        <v>0</v>
      </c>
      <c r="DE21" s="72">
        <v>0</v>
      </c>
      <c r="DF21" s="72">
        <v>0</v>
      </c>
      <c r="DG21" s="72">
        <v>0</v>
      </c>
      <c r="DH21" s="72">
        <v>0</v>
      </c>
      <c r="DI21" s="72">
        <v>0</v>
      </c>
      <c r="DJ21" s="72">
        <v>0</v>
      </c>
      <c r="DK21" s="72">
        <v>0</v>
      </c>
      <c r="DL21" s="72">
        <v>0</v>
      </c>
      <c r="DM21" s="72">
        <v>0</v>
      </c>
      <c r="DN21" s="72">
        <v>0</v>
      </c>
      <c r="DO21" s="72">
        <v>0</v>
      </c>
      <c r="DP21" s="72">
        <v>0</v>
      </c>
      <c r="DQ21" s="72">
        <v>0</v>
      </c>
      <c r="DR21" s="72"/>
      <c r="DS21" s="72"/>
      <c r="DT21" s="72"/>
      <c r="DU21" s="72"/>
      <c r="DV21" s="72"/>
      <c r="DW21" s="72"/>
    </row>
    <row r="22" spans="1:127" x14ac:dyDescent="0.45">
      <c r="A22" s="77" t="s">
        <v>155</v>
      </c>
      <c r="B22" s="72">
        <f>B20+B21</f>
        <v>0</v>
      </c>
      <c r="C22" s="72">
        <f>C20+C21</f>
        <v>0</v>
      </c>
      <c r="D22" s="72">
        <f>D20+D21</f>
        <v>0</v>
      </c>
      <c r="E22" s="72">
        <f t="shared" ref="E22:N22" si="82">E20+E21</f>
        <v>0</v>
      </c>
      <c r="F22" s="72">
        <f t="shared" si="82"/>
        <v>0</v>
      </c>
      <c r="G22" s="72">
        <f t="shared" si="82"/>
        <v>27574727.248421889</v>
      </c>
      <c r="H22" s="72">
        <f t="shared" si="82"/>
        <v>27574727.248421889</v>
      </c>
      <c r="I22" s="72">
        <f t="shared" si="82"/>
        <v>27574727.248421889</v>
      </c>
      <c r="J22" s="72">
        <f t="shared" si="82"/>
        <v>27574727.248421889</v>
      </c>
      <c r="K22" s="72">
        <f t="shared" si="82"/>
        <v>27574727.248421889</v>
      </c>
      <c r="L22" s="72">
        <f t="shared" si="82"/>
        <v>27574727.248421889</v>
      </c>
      <c r="M22" s="72">
        <f t="shared" si="82"/>
        <v>27574727.248421889</v>
      </c>
      <c r="N22" s="72">
        <f t="shared" si="82"/>
        <v>19323153.115757581</v>
      </c>
      <c r="O22" s="72">
        <f t="shared" ref="O22:BN22" si="83">+PMT(O14,O17,-N23)</f>
        <v>42378578.130711056</v>
      </c>
      <c r="P22" s="72">
        <f t="shared" si="83"/>
        <v>42378578.130711064</v>
      </c>
      <c r="Q22" s="72">
        <f t="shared" si="83"/>
        <v>42378578.130711056</v>
      </c>
      <c r="R22" s="72">
        <f t="shared" si="83"/>
        <v>42378578.130711056</v>
      </c>
      <c r="S22" s="72">
        <f t="shared" si="83"/>
        <v>42378578.130711056</v>
      </c>
      <c r="T22" s="72">
        <f t="shared" si="83"/>
        <v>42378578.130711049</v>
      </c>
      <c r="U22" s="72">
        <f t="shared" si="83"/>
        <v>42378578.130711056</v>
      </c>
      <c r="V22" s="72">
        <f t="shared" si="83"/>
        <v>42378578.130711064</v>
      </c>
      <c r="W22" s="72">
        <f t="shared" si="83"/>
        <v>42378578.130711049</v>
      </c>
      <c r="X22" s="72">
        <f t="shared" si="83"/>
        <v>42378578.130711049</v>
      </c>
      <c r="Y22" s="72">
        <f t="shared" si="83"/>
        <v>42378578.130711049</v>
      </c>
      <c r="Z22" s="72">
        <f t="shared" si="83"/>
        <v>42378578.130711041</v>
      </c>
      <c r="AA22" s="72">
        <f t="shared" si="83"/>
        <v>42378578.130711041</v>
      </c>
      <c r="AB22" s="72">
        <f t="shared" si="83"/>
        <v>42378578.130711049</v>
      </c>
      <c r="AC22" s="72">
        <f t="shared" si="83"/>
        <v>42378578.130711049</v>
      </c>
      <c r="AD22" s="72">
        <f t="shared" si="83"/>
        <v>42378578.130711041</v>
      </c>
      <c r="AE22" s="72">
        <f t="shared" si="83"/>
        <v>42378578.130711049</v>
      </c>
      <c r="AF22" s="72">
        <f t="shared" si="83"/>
        <v>42378578.130711041</v>
      </c>
      <c r="AG22" s="72">
        <f t="shared" si="83"/>
        <v>42378578.130711049</v>
      </c>
      <c r="AH22" s="72">
        <f t="shared" si="83"/>
        <v>42378578.130711056</v>
      </c>
      <c r="AI22" s="72">
        <f t="shared" si="83"/>
        <v>42378578.130711049</v>
      </c>
      <c r="AJ22" s="72">
        <f t="shared" si="83"/>
        <v>42378578.130711056</v>
      </c>
      <c r="AK22" s="72">
        <f t="shared" si="83"/>
        <v>42378578.130711049</v>
      </c>
      <c r="AL22" s="72">
        <f t="shared" si="83"/>
        <v>42378578.130711049</v>
      </c>
      <c r="AM22" s="72">
        <f t="shared" si="83"/>
        <v>42378578.130711041</v>
      </c>
      <c r="AN22" s="72">
        <f t="shared" si="83"/>
        <v>42378578.130711041</v>
      </c>
      <c r="AO22" s="72">
        <f t="shared" si="83"/>
        <v>42378578.130711041</v>
      </c>
      <c r="AP22" s="72">
        <f t="shared" si="83"/>
        <v>42378578.130711041</v>
      </c>
      <c r="AQ22" s="72">
        <f t="shared" si="83"/>
        <v>42378578.130711041</v>
      </c>
      <c r="AR22" s="72">
        <f t="shared" si="83"/>
        <v>42378578.130711041</v>
      </c>
      <c r="AS22" s="72">
        <f t="shared" si="83"/>
        <v>42378578.130711049</v>
      </c>
      <c r="AT22" s="72">
        <f t="shared" si="83"/>
        <v>42378578.130711041</v>
      </c>
      <c r="AU22" s="72">
        <f t="shared" si="83"/>
        <v>42378578.130711041</v>
      </c>
      <c r="AV22" s="72">
        <f t="shared" si="83"/>
        <v>42378578.130711041</v>
      </c>
      <c r="AW22" s="72">
        <f t="shared" si="83"/>
        <v>42378578.130711049</v>
      </c>
      <c r="AX22" s="72">
        <f t="shared" si="83"/>
        <v>42378578.130711041</v>
      </c>
      <c r="AY22" s="72">
        <f t="shared" si="83"/>
        <v>42378578.130711049</v>
      </c>
      <c r="AZ22" s="72">
        <f t="shared" si="83"/>
        <v>42378578.130711049</v>
      </c>
      <c r="BA22" s="72">
        <f t="shared" si="83"/>
        <v>42378578.130711049</v>
      </c>
      <c r="BB22" s="72">
        <f t="shared" si="83"/>
        <v>42378578.130711049</v>
      </c>
      <c r="BC22" s="72">
        <f t="shared" si="83"/>
        <v>42378578.130711041</v>
      </c>
      <c r="BD22" s="72">
        <f t="shared" si="83"/>
        <v>42378578.130711041</v>
      </c>
      <c r="BE22" s="72">
        <f t="shared" si="83"/>
        <v>42378578.130711041</v>
      </c>
      <c r="BF22" s="72">
        <f t="shared" si="83"/>
        <v>42378578.130711041</v>
      </c>
      <c r="BG22" s="72">
        <f t="shared" si="83"/>
        <v>42378578.130711049</v>
      </c>
      <c r="BH22" s="72">
        <f t="shared" si="83"/>
        <v>42378578.130711041</v>
      </c>
      <c r="BI22" s="72">
        <f t="shared" si="83"/>
        <v>42378578.130711034</v>
      </c>
      <c r="BJ22" s="72">
        <f t="shared" si="83"/>
        <v>42378578.130711034</v>
      </c>
      <c r="BK22" s="72">
        <f t="shared" si="83"/>
        <v>42378578.130711034</v>
      </c>
      <c r="BL22" s="72">
        <f t="shared" si="83"/>
        <v>42378578.130711041</v>
      </c>
      <c r="BM22" s="72">
        <f t="shared" si="83"/>
        <v>42378578.130711041</v>
      </c>
      <c r="BN22" s="72">
        <f t="shared" si="83"/>
        <v>42378578.130711041</v>
      </c>
      <c r="BO22" s="254">
        <f>+PMT(BO14,BO17,-BN23)</f>
        <v>42378578.130711034</v>
      </c>
      <c r="BP22" s="254">
        <f t="shared" ref="BP22:CI22" si="84">+PMT(BP14,BP17,-BO23)</f>
        <v>42378578.130711026</v>
      </c>
      <c r="BQ22" s="254">
        <f t="shared" si="84"/>
        <v>42378578.130711034</v>
      </c>
      <c r="BR22" s="254">
        <f t="shared" si="84"/>
        <v>42378578.130711026</v>
      </c>
      <c r="BS22" s="254">
        <f t="shared" si="84"/>
        <v>42378578.130711034</v>
      </c>
      <c r="BT22" s="254">
        <f t="shared" si="84"/>
        <v>42378578.130711034</v>
      </c>
      <c r="BU22" s="254">
        <f t="shared" si="84"/>
        <v>42378578.130711026</v>
      </c>
      <c r="BV22" s="254">
        <f t="shared" si="84"/>
        <v>42378578.130711026</v>
      </c>
      <c r="BW22" s="254">
        <f t="shared" si="84"/>
        <v>42378578.130711034</v>
      </c>
      <c r="BX22" s="254">
        <f t="shared" si="84"/>
        <v>42378578.130711034</v>
      </c>
      <c r="BY22" s="254">
        <f t="shared" si="84"/>
        <v>42378578.130711026</v>
      </c>
      <c r="BZ22" s="254">
        <f t="shared" si="84"/>
        <v>42378578.130711041</v>
      </c>
      <c r="CA22" s="254">
        <f t="shared" si="84"/>
        <v>42378578.130711026</v>
      </c>
      <c r="CB22" s="254">
        <f t="shared" si="84"/>
        <v>42378578.130711026</v>
      </c>
      <c r="CC22" s="254">
        <f t="shared" si="84"/>
        <v>42378578.130711026</v>
      </c>
      <c r="CD22" s="254">
        <f t="shared" si="84"/>
        <v>42378578.130711034</v>
      </c>
      <c r="CE22" s="254">
        <f t="shared" si="84"/>
        <v>42378578.130711034</v>
      </c>
      <c r="CF22" s="254">
        <f t="shared" si="84"/>
        <v>42378578.130711034</v>
      </c>
      <c r="CG22" s="254">
        <f t="shared" si="84"/>
        <v>42378578.130711034</v>
      </c>
      <c r="CH22" s="254">
        <f t="shared" si="84"/>
        <v>42378578.130711034</v>
      </c>
      <c r="CI22" s="254">
        <f t="shared" si="84"/>
        <v>42378578.130711026</v>
      </c>
      <c r="CJ22" s="254">
        <f t="shared" ref="CJ22:CR22" si="85">+PMT(CJ14,CJ17,-CI23)</f>
        <v>42378578.130711034</v>
      </c>
      <c r="CK22" s="254">
        <f t="shared" si="85"/>
        <v>42378578.130711026</v>
      </c>
      <c r="CL22" s="254">
        <f t="shared" si="85"/>
        <v>42378578.130711034</v>
      </c>
      <c r="CM22" s="254">
        <f t="shared" si="85"/>
        <v>42378578.130711041</v>
      </c>
      <c r="CN22" s="254">
        <f t="shared" si="85"/>
        <v>42378578.130711034</v>
      </c>
      <c r="CO22" s="254">
        <f t="shared" si="85"/>
        <v>42378578.130711034</v>
      </c>
      <c r="CP22" s="254">
        <f t="shared" si="85"/>
        <v>42378578.130711041</v>
      </c>
      <c r="CQ22" s="254">
        <f t="shared" si="85"/>
        <v>42378578.130711034</v>
      </c>
      <c r="CR22" s="254">
        <f t="shared" si="85"/>
        <v>42378578.130711041</v>
      </c>
      <c r="CS22" s="254">
        <f t="shared" ref="CS22" si="86">+PMT(CS14,CS17,-CR23)</f>
        <v>42378578.130711034</v>
      </c>
      <c r="CT22" s="72">
        <v>0</v>
      </c>
      <c r="CU22" s="72">
        <v>0</v>
      </c>
      <c r="CV22" s="72">
        <v>0</v>
      </c>
      <c r="CW22" s="72">
        <v>0</v>
      </c>
      <c r="CX22" s="72">
        <v>0</v>
      </c>
      <c r="CY22" s="72">
        <v>0</v>
      </c>
      <c r="CZ22" s="72">
        <v>0</v>
      </c>
      <c r="DA22" s="72">
        <v>0</v>
      </c>
      <c r="DB22" s="72">
        <v>0</v>
      </c>
      <c r="DC22" s="72">
        <v>0</v>
      </c>
      <c r="DD22" s="72">
        <v>0</v>
      </c>
      <c r="DE22" s="72">
        <v>0</v>
      </c>
      <c r="DF22" s="72">
        <v>0</v>
      </c>
      <c r="DG22" s="72">
        <v>0</v>
      </c>
      <c r="DH22" s="72">
        <v>0</v>
      </c>
      <c r="DI22" s="72">
        <v>0</v>
      </c>
      <c r="DJ22" s="72">
        <v>0</v>
      </c>
      <c r="DK22" s="72">
        <v>0</v>
      </c>
      <c r="DL22" s="72">
        <v>0</v>
      </c>
      <c r="DM22" s="72">
        <v>0</v>
      </c>
      <c r="DN22" s="72">
        <v>0</v>
      </c>
      <c r="DO22" s="72">
        <v>0</v>
      </c>
      <c r="DP22" s="72">
        <v>0</v>
      </c>
      <c r="DQ22" s="72">
        <v>0</v>
      </c>
      <c r="DR22" s="72"/>
      <c r="DS22" s="72"/>
      <c r="DT22" s="72"/>
      <c r="DU22" s="72"/>
      <c r="DV22" s="72"/>
      <c r="DW22" s="72"/>
    </row>
    <row r="23" spans="1:127" x14ac:dyDescent="0.45">
      <c r="A23" s="74" t="s">
        <v>156</v>
      </c>
      <c r="B23" s="73">
        <f>B19-B20</f>
        <v>0</v>
      </c>
      <c r="C23" s="73">
        <f>C19-C20</f>
        <v>0</v>
      </c>
      <c r="D23" s="73">
        <f t="shared" ref="D23:BO23" si="87">D19-D20</f>
        <v>0</v>
      </c>
      <c r="E23" s="73">
        <f t="shared" si="87"/>
        <v>0</v>
      </c>
      <c r="F23" s="73">
        <f t="shared" si="87"/>
        <v>0</v>
      </c>
      <c r="G23" s="73">
        <f t="shared" si="87"/>
        <v>2625000000</v>
      </c>
      <c r="H23" s="73">
        <f>H19-H20</f>
        <v>2625000000</v>
      </c>
      <c r="I23" s="73">
        <f t="shared" si="87"/>
        <v>2625000000</v>
      </c>
      <c r="J23" s="73">
        <f t="shared" si="87"/>
        <v>2625000000</v>
      </c>
      <c r="K23" s="73">
        <f t="shared" si="87"/>
        <v>2625000000</v>
      </c>
      <c r="L23" s="73">
        <f t="shared" si="87"/>
        <v>2625000000</v>
      </c>
      <c r="M23" s="73">
        <f t="shared" si="87"/>
        <v>2625000000</v>
      </c>
      <c r="N23" s="73">
        <f t="shared" si="87"/>
        <v>2625000000</v>
      </c>
      <c r="O23" s="73">
        <f t="shared" si="87"/>
        <v>2601944574.9850464</v>
      </c>
      <c r="P23" s="73">
        <f t="shared" si="87"/>
        <v>2578719434.3481069</v>
      </c>
      <c r="Q23" s="73">
        <f t="shared" si="87"/>
        <v>2555323328.7783437</v>
      </c>
      <c r="R23" s="73">
        <f t="shared" si="87"/>
        <v>2531754999.7684903</v>
      </c>
      <c r="S23" s="73">
        <f t="shared" si="87"/>
        <v>2508013179.5471549</v>
      </c>
      <c r="T23" s="73">
        <f t="shared" si="87"/>
        <v>2484096591.0106258</v>
      </c>
      <c r="U23" s="73">
        <f t="shared" si="87"/>
        <v>2460003947.6541739</v>
      </c>
      <c r="V23" s="73">
        <f t="shared" si="87"/>
        <v>2435733953.5028491</v>
      </c>
      <c r="W23" s="73">
        <f t="shared" si="87"/>
        <v>2411285303.0417705</v>
      </c>
      <c r="X23" s="73">
        <f t="shared" si="87"/>
        <v>2386656681.1458983</v>
      </c>
      <c r="Y23" s="73">
        <f t="shared" si="87"/>
        <v>2361846763.0092931</v>
      </c>
      <c r="Z23" s="73">
        <f t="shared" si="87"/>
        <v>2336854214.0738525</v>
      </c>
      <c r="AA23" s="73">
        <f t="shared" si="87"/>
        <v>2311677689.9575233</v>
      </c>
      <c r="AB23" s="73">
        <f t="shared" si="87"/>
        <v>2286315836.3819857</v>
      </c>
      <c r="AC23" s="73">
        <f t="shared" si="87"/>
        <v>2260767289.0998044</v>
      </c>
      <c r="AD23" s="73">
        <f t="shared" si="87"/>
        <v>2235030673.8210444</v>
      </c>
      <c r="AE23" s="73">
        <f t="shared" si="87"/>
        <v>2209104606.1393461</v>
      </c>
      <c r="AF23" s="73">
        <f t="shared" si="87"/>
        <v>2182987691.4574566</v>
      </c>
      <c r="AG23" s="73">
        <f t="shared" si="87"/>
        <v>2156678524.9122109</v>
      </c>
      <c r="AH23" s="73">
        <f t="shared" si="87"/>
        <v>2130175691.2989645</v>
      </c>
      <c r="AI23" s="73">
        <f t="shared" si="87"/>
        <v>2103477764.9954667</v>
      </c>
      <c r="AJ23" s="73">
        <f t="shared" si="87"/>
        <v>2076583309.8851743</v>
      </c>
      <c r="AK23" s="73">
        <f t="shared" si="87"/>
        <v>2049490879.2800014</v>
      </c>
      <c r="AL23" s="73">
        <f t="shared" si="87"/>
        <v>2022199015.8425002</v>
      </c>
      <c r="AM23" s="73">
        <f t="shared" si="87"/>
        <v>1994706251.5074687</v>
      </c>
      <c r="AN23" s="73">
        <f t="shared" si="87"/>
        <v>1967011107.4029815</v>
      </c>
      <c r="AO23" s="73">
        <f t="shared" si="87"/>
        <v>1939112093.7708395</v>
      </c>
      <c r="AP23" s="73">
        <f t="shared" si="87"/>
        <v>1911007709.8864336</v>
      </c>
      <c r="AQ23" s="73">
        <f t="shared" si="87"/>
        <v>1882696443.9780192</v>
      </c>
      <c r="AR23" s="73">
        <f t="shared" si="87"/>
        <v>1854176773.1453958</v>
      </c>
      <c r="AS23" s="73">
        <f t="shared" si="87"/>
        <v>1825447163.2779875</v>
      </c>
      <c r="AT23" s="73">
        <f t="shared" si="87"/>
        <v>1796506068.9723225</v>
      </c>
      <c r="AU23" s="73">
        <f t="shared" si="87"/>
        <v>1767351933.4489028</v>
      </c>
      <c r="AV23" s="73">
        <f t="shared" si="87"/>
        <v>1737983188.4684637</v>
      </c>
      <c r="AW23" s="73">
        <f t="shared" si="87"/>
        <v>1708398254.2476149</v>
      </c>
      <c r="AX23" s="73">
        <f t="shared" si="87"/>
        <v>1678595539.3738637</v>
      </c>
      <c r="AY23" s="73">
        <f t="shared" si="87"/>
        <v>1648573440.7200093</v>
      </c>
      <c r="AZ23" s="73">
        <f t="shared" si="87"/>
        <v>1618330343.3579094</v>
      </c>
      <c r="BA23" s="73">
        <f t="shared" si="87"/>
        <v>1587864620.4716103</v>
      </c>
      <c r="BB23" s="73">
        <f t="shared" si="87"/>
        <v>1557174633.269839</v>
      </c>
      <c r="BC23" s="73">
        <f t="shared" si="87"/>
        <v>1526258730.8978505</v>
      </c>
      <c r="BD23" s="73">
        <f t="shared" si="87"/>
        <v>1495115250.3486257</v>
      </c>
      <c r="BE23" s="73">
        <f t="shared" si="87"/>
        <v>1463742516.3734159</v>
      </c>
      <c r="BF23" s="73">
        <f t="shared" si="87"/>
        <v>1432138841.3916297</v>
      </c>
      <c r="BG23" s="73">
        <f t="shared" si="87"/>
        <v>1400302525.4000554</v>
      </c>
      <c r="BH23" s="73">
        <f t="shared" si="87"/>
        <v>1368231855.8814156</v>
      </c>
      <c r="BI23" s="73">
        <f t="shared" si="87"/>
        <v>1335925107.7122488</v>
      </c>
      <c r="BJ23" s="73">
        <f t="shared" si="87"/>
        <v>1303380543.0701125</v>
      </c>
      <c r="BK23" s="73">
        <f t="shared" si="87"/>
        <v>1270596411.3401036</v>
      </c>
      <c r="BL23" s="73">
        <f t="shared" si="87"/>
        <v>1237570949.0206904</v>
      </c>
      <c r="BM23" s="73">
        <f t="shared" si="87"/>
        <v>1204302379.6288519</v>
      </c>
      <c r="BN23" s="73">
        <f t="shared" si="87"/>
        <v>1170788913.6045177</v>
      </c>
      <c r="BO23" s="73">
        <f t="shared" si="87"/>
        <v>1137028748.2143064</v>
      </c>
      <c r="BP23" s="73">
        <f t="shared" ref="BP23:CI23" si="88">BP19-BP20</f>
        <v>1103020067.4545527</v>
      </c>
      <c r="BQ23" s="73">
        <f t="shared" si="88"/>
        <v>1068761041.9536235</v>
      </c>
      <c r="BR23" s="73">
        <f t="shared" si="88"/>
        <v>1034249828.8735131</v>
      </c>
      <c r="BS23" s="73">
        <f t="shared" si="88"/>
        <v>999484571.81071401</v>
      </c>
      <c r="BT23" s="73">
        <f t="shared" si="88"/>
        <v>964463400.69635952</v>
      </c>
      <c r="BU23" s="73">
        <f t="shared" si="88"/>
        <v>929184431.69562948</v>
      </c>
      <c r="BV23" s="73">
        <f t="shared" si="88"/>
        <v>893645767.1064167</v>
      </c>
      <c r="BW23" s="73">
        <f t="shared" si="88"/>
        <v>857845495.25724697</v>
      </c>
      <c r="BX23" s="73">
        <f t="shared" si="88"/>
        <v>821781690.40444779</v>
      </c>
      <c r="BY23" s="73">
        <f t="shared" si="88"/>
        <v>785452412.62856007</v>
      </c>
      <c r="BZ23" s="73">
        <f t="shared" si="88"/>
        <v>748855707.72998726</v>
      </c>
      <c r="CA23" s="73">
        <f t="shared" si="88"/>
        <v>711989607.12387645</v>
      </c>
      <c r="CB23" s="73">
        <f t="shared" si="88"/>
        <v>674852127.73422551</v>
      </c>
      <c r="CC23" s="73">
        <f t="shared" si="88"/>
        <v>637441271.88721097</v>
      </c>
      <c r="CD23" s="73">
        <f t="shared" si="88"/>
        <v>599755027.20373034</v>
      </c>
      <c r="CE23" s="73">
        <f t="shared" si="88"/>
        <v>561791366.49115384</v>
      </c>
      <c r="CF23" s="73">
        <f t="shared" si="88"/>
        <v>523548247.63427871</v>
      </c>
      <c r="CG23" s="73">
        <f t="shared" si="88"/>
        <v>485023613.4854815</v>
      </c>
      <c r="CH23" s="73">
        <f t="shared" si="88"/>
        <v>446215391.7540611</v>
      </c>
      <c r="CI23" s="73">
        <f t="shared" si="88"/>
        <v>407121494.89476776</v>
      </c>
      <c r="CJ23" s="73">
        <f t="shared" ref="CJ23:CR23" si="89">CJ19-CJ20</f>
        <v>367739819.99551111</v>
      </c>
      <c r="CK23" s="73">
        <f t="shared" si="89"/>
        <v>328068248.66424179</v>
      </c>
      <c r="CL23" s="73">
        <f t="shared" si="89"/>
        <v>288104646.91500032</v>
      </c>
      <c r="CM23" s="73">
        <f t="shared" si="89"/>
        <v>247846865.05312729</v>
      </c>
      <c r="CN23" s="73">
        <f t="shared" si="89"/>
        <v>207292737.55962849</v>
      </c>
      <c r="CO23" s="73">
        <f t="shared" si="89"/>
        <v>166440082.97468859</v>
      </c>
      <c r="CP23" s="73">
        <f t="shared" si="89"/>
        <v>125286703.78032777</v>
      </c>
      <c r="CQ23" s="73">
        <f t="shared" si="89"/>
        <v>83830386.282194197</v>
      </c>
      <c r="CR23" s="73">
        <f t="shared" si="89"/>
        <v>42068900.490486562</v>
      </c>
      <c r="CS23" s="73">
        <f t="shared" ref="CS23" si="90">CS19-CS20</f>
        <v>0</v>
      </c>
      <c r="CT23" s="72">
        <v>0</v>
      </c>
      <c r="CU23" s="72">
        <v>0</v>
      </c>
      <c r="CV23" s="72">
        <v>0</v>
      </c>
      <c r="CW23" s="72">
        <v>0</v>
      </c>
      <c r="CX23" s="72">
        <v>0</v>
      </c>
      <c r="CY23" s="72">
        <v>0</v>
      </c>
      <c r="CZ23" s="72">
        <v>0</v>
      </c>
      <c r="DA23" s="72">
        <v>0</v>
      </c>
      <c r="DB23" s="72">
        <v>0</v>
      </c>
      <c r="DC23" s="72">
        <v>0</v>
      </c>
      <c r="DD23" s="72">
        <v>0</v>
      </c>
      <c r="DE23" s="72">
        <v>0</v>
      </c>
      <c r="DF23" s="72">
        <v>0</v>
      </c>
      <c r="DG23" s="72">
        <v>0</v>
      </c>
      <c r="DH23" s="72">
        <v>0</v>
      </c>
      <c r="DI23" s="72">
        <v>0</v>
      </c>
      <c r="DJ23" s="72">
        <v>0</v>
      </c>
      <c r="DK23" s="72">
        <v>0</v>
      </c>
      <c r="DL23" s="72">
        <v>0</v>
      </c>
      <c r="DM23" s="72">
        <v>0</v>
      </c>
      <c r="DN23" s="72">
        <v>0</v>
      </c>
      <c r="DO23" s="72">
        <v>0</v>
      </c>
      <c r="DP23" s="72">
        <v>0</v>
      </c>
      <c r="DQ23" s="72">
        <v>0</v>
      </c>
      <c r="DR23" s="73"/>
      <c r="DS23" s="73"/>
      <c r="DT23" s="73"/>
      <c r="DU23" s="73"/>
      <c r="DV23" s="73"/>
      <c r="DW23" s="73"/>
    </row>
    <row r="24" spans="1:127" x14ac:dyDescent="0.45">
      <c r="A24" s="74"/>
      <c r="B24" s="75"/>
      <c r="C24" s="75"/>
      <c r="D24" s="75"/>
      <c r="E24" s="75"/>
      <c r="F24" s="75"/>
      <c r="G24" s="75"/>
      <c r="H24" s="75"/>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row>
    <row r="25" spans="1:127" x14ac:dyDescent="0.45">
      <c r="A25" s="78"/>
      <c r="B25" s="74"/>
      <c r="C25" s="74"/>
      <c r="D25" s="74"/>
      <c r="E25" s="74"/>
      <c r="F25" s="74"/>
      <c r="G25" s="74"/>
      <c r="H25" s="74"/>
      <c r="I25" s="74"/>
      <c r="J25" s="74"/>
      <c r="K25" s="74"/>
      <c r="L25" s="74"/>
      <c r="M25" s="74"/>
      <c r="N25" s="74"/>
      <c r="O25" s="74"/>
      <c r="P25" s="74"/>
      <c r="Q25" s="74"/>
      <c r="R25" s="74"/>
      <c r="S25" s="74"/>
      <c r="T25" s="74"/>
      <c r="U25" s="74"/>
      <c r="V25" s="74"/>
      <c r="W25" s="74"/>
      <c r="X25" s="74"/>
      <c r="Y25" s="74"/>
      <c r="Z25" s="74"/>
      <c r="AA25" s="74"/>
      <c r="AB25" s="74"/>
      <c r="AC25" s="74"/>
      <c r="AD25" s="74"/>
      <c r="AE25" s="74"/>
      <c r="AF25" s="74"/>
      <c r="AG25" s="74"/>
      <c r="AH25" s="74"/>
      <c r="AI25" s="74"/>
      <c r="AJ25" s="74"/>
      <c r="AK25" s="74"/>
      <c r="AL25" s="74"/>
      <c r="AM25" s="74"/>
      <c r="AN25" s="74"/>
      <c r="AO25" s="74"/>
      <c r="AP25" s="74"/>
      <c r="AQ25" s="74"/>
      <c r="AR25" s="74"/>
      <c r="AS25" s="74"/>
      <c r="AT25" s="74"/>
      <c r="AU25" s="74"/>
      <c r="AV25" s="74"/>
      <c r="AW25" s="74"/>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row>
    <row r="26" spans="1:127" x14ac:dyDescent="0.45">
      <c r="A26" s="74"/>
      <c r="B26" s="75"/>
      <c r="C26" s="74"/>
      <c r="D26" s="74"/>
      <c r="E26" s="74"/>
      <c r="F26" s="74"/>
      <c r="G26" s="74"/>
      <c r="H26" s="74"/>
      <c r="I26" s="74"/>
      <c r="J26" s="74"/>
      <c r="K26" s="74"/>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c r="DK26" s="74"/>
      <c r="DL26" s="74"/>
      <c r="DM26" s="74"/>
      <c r="DN26" s="74"/>
      <c r="DO26" s="74"/>
      <c r="DP26" s="74"/>
      <c r="DQ26" s="74"/>
      <c r="DR26" s="74"/>
      <c r="DS26" s="74"/>
      <c r="DT26" s="74"/>
      <c r="DU26" s="74"/>
      <c r="DV26" s="74"/>
      <c r="DW26" s="74"/>
    </row>
    <row r="27" spans="1:127" x14ac:dyDescent="0.45">
      <c r="A27" s="74"/>
      <c r="B27" s="73"/>
      <c r="C27" s="74"/>
      <c r="D27" s="74"/>
      <c r="E27" s="74"/>
      <c r="F27" s="74"/>
      <c r="G27" s="74"/>
      <c r="H27" s="74"/>
      <c r="I27" s="74"/>
      <c r="J27" s="74"/>
      <c r="K27" s="74"/>
      <c r="L27" s="74"/>
      <c r="M27" s="74"/>
      <c r="N27" s="74"/>
      <c r="O27" s="74"/>
      <c r="P27" s="74"/>
      <c r="Q27" s="74"/>
      <c r="R27" s="74"/>
      <c r="S27" s="74"/>
      <c r="T27" s="74"/>
      <c r="U27" s="74"/>
      <c r="V27" s="74"/>
      <c r="W27" s="74"/>
      <c r="X27" s="74"/>
      <c r="Y27" s="74"/>
      <c r="Z27" s="74"/>
      <c r="AA27" s="74"/>
      <c r="AB27" s="74"/>
      <c r="AC27" s="74"/>
      <c r="AD27" s="74"/>
      <c r="AE27" s="74"/>
      <c r="AF27" s="74"/>
      <c r="AG27" s="74"/>
      <c r="AH27" s="74"/>
      <c r="AI27" s="74"/>
      <c r="AJ27" s="74"/>
      <c r="AK27" s="74"/>
      <c r="AL27" s="74"/>
      <c r="AM27" s="74"/>
      <c r="AN27" s="74"/>
      <c r="AO27" s="74"/>
      <c r="AP27" s="74"/>
      <c r="AQ27" s="74"/>
      <c r="AR27" s="74"/>
      <c r="AS27" s="74"/>
      <c r="AT27" s="74"/>
      <c r="AU27" s="74"/>
      <c r="AV27" s="74"/>
      <c r="AW27" s="74"/>
      <c r="AX27" s="74"/>
      <c r="AY27" s="74"/>
      <c r="AZ27" s="74"/>
      <c r="BA27" s="74"/>
      <c r="BB27" s="74"/>
      <c r="BC27" s="74"/>
      <c r="BD27" s="74"/>
      <c r="BE27" s="74"/>
      <c r="BF27" s="74"/>
      <c r="BG27" s="74"/>
      <c r="BH27" s="74"/>
      <c r="BI27" s="74"/>
      <c r="BJ27" s="74"/>
      <c r="BK27" s="74"/>
      <c r="BL27" s="74"/>
      <c r="BM27" s="74"/>
      <c r="BN27" s="74"/>
      <c r="BO27" s="74"/>
      <c r="BP27" s="74"/>
      <c r="BQ27" s="74"/>
      <c r="BR27" s="74"/>
      <c r="BS27" s="74"/>
      <c r="BT27" s="74"/>
      <c r="BU27" s="74"/>
      <c r="BV27" s="74"/>
      <c r="BW27" s="74"/>
      <c r="BX27" s="74"/>
      <c r="BY27" s="74"/>
      <c r="BZ27" s="74"/>
      <c r="CA27" s="74"/>
      <c r="CB27" s="74"/>
      <c r="CC27" s="74"/>
      <c r="CD27" s="74"/>
      <c r="CE27" s="74"/>
      <c r="CF27" s="74"/>
      <c r="CG27" s="74"/>
      <c r="CH27" s="74"/>
      <c r="CI27" s="74"/>
      <c r="CJ27" s="74"/>
      <c r="CK27" s="74"/>
      <c r="CL27" s="74"/>
      <c r="CM27" s="74"/>
      <c r="CN27" s="74"/>
      <c r="CO27" s="74"/>
      <c r="CP27" s="74"/>
      <c r="CQ27" s="74"/>
      <c r="CR27" s="74"/>
      <c r="CS27" s="74"/>
      <c r="CT27" s="74"/>
      <c r="CU27" s="74"/>
      <c r="CV27" s="74"/>
      <c r="CW27" s="74"/>
      <c r="CX27" s="74"/>
      <c r="CY27" s="74"/>
      <c r="CZ27" s="74"/>
      <c r="DA27" s="74"/>
      <c r="DB27" s="74"/>
      <c r="DC27" s="74"/>
      <c r="DD27" s="74"/>
      <c r="DE27" s="74"/>
      <c r="DF27" s="74"/>
      <c r="DG27" s="74"/>
      <c r="DH27" s="74"/>
      <c r="DI27" s="74"/>
      <c r="DJ27" s="74"/>
      <c r="DK27" s="74"/>
      <c r="DL27" s="74"/>
      <c r="DM27" s="74"/>
      <c r="DN27" s="74"/>
      <c r="DO27" s="74"/>
      <c r="DP27" s="74"/>
      <c r="DQ27" s="74"/>
      <c r="DR27" s="74"/>
      <c r="DS27" s="74"/>
      <c r="DT27" s="74"/>
      <c r="DU27" s="74"/>
      <c r="DV27" s="74"/>
      <c r="DW27" s="74"/>
    </row>
    <row r="29" spans="1:127" x14ac:dyDescent="0.45">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row>
    <row r="30" spans="1:127" ht="25" customHeight="1" x14ac:dyDescent="0.6">
      <c r="A30" s="354" t="s">
        <v>157</v>
      </c>
      <c r="B30" s="354"/>
      <c r="C30" s="354"/>
    </row>
    <row r="31" spans="1:127" ht="17.25" customHeight="1" x14ac:dyDescent="0.6">
      <c r="A31" s="82"/>
      <c r="B31" s="82"/>
      <c r="C31" s="82"/>
    </row>
    <row r="32" spans="1:127" s="83" customFormat="1" ht="18.899999999999999" thickBot="1" x14ac:dyDescent="0.55000000000000004">
      <c r="A32" s="79" t="s">
        <v>151</v>
      </c>
      <c r="B32" s="79">
        <v>1</v>
      </c>
      <c r="C32" s="79">
        <v>2</v>
      </c>
      <c r="D32" s="79">
        <v>3</v>
      </c>
      <c r="E32" s="79">
        <v>4</v>
      </c>
      <c r="F32" s="79">
        <v>5</v>
      </c>
      <c r="G32" s="79">
        <v>6</v>
      </c>
      <c r="H32" s="79">
        <v>7</v>
      </c>
      <c r="I32" s="79">
        <v>8</v>
      </c>
      <c r="J32" s="79">
        <v>9</v>
      </c>
      <c r="K32" s="79">
        <v>10</v>
      </c>
    </row>
    <row r="33" spans="1:11" x14ac:dyDescent="0.45">
      <c r="A33" s="69" t="s">
        <v>158</v>
      </c>
      <c r="B33" s="3">
        <f>$B$27*12</f>
        <v>0</v>
      </c>
      <c r="C33" s="3">
        <f t="shared" ref="C33:J33" si="91">$B$27*12</f>
        <v>0</v>
      </c>
      <c r="D33" s="3">
        <f t="shared" si="91"/>
        <v>0</v>
      </c>
      <c r="E33" s="3">
        <f t="shared" si="91"/>
        <v>0</v>
      </c>
      <c r="F33" s="3">
        <f t="shared" si="91"/>
        <v>0</v>
      </c>
      <c r="G33" s="3">
        <f t="shared" si="91"/>
        <v>0</v>
      </c>
      <c r="H33" s="3">
        <f t="shared" si="91"/>
        <v>0</v>
      </c>
      <c r="I33" s="3">
        <f t="shared" si="91"/>
        <v>0</v>
      </c>
      <c r="J33" s="3">
        <f t="shared" si="91"/>
        <v>0</v>
      </c>
      <c r="K33" s="3">
        <f>$B$27*12</f>
        <v>0</v>
      </c>
    </row>
    <row r="34" spans="1:11" x14ac:dyDescent="0.45">
      <c r="A34" t="s">
        <v>159</v>
      </c>
      <c r="B34" s="3">
        <f>SUM(B21:M21)</f>
        <v>193023090.7389532</v>
      </c>
      <c r="C34" s="3">
        <f ca="1">SUM(OFFSET($N$21,0,(COLUMN(N21)-COLUMN($N$21))*12,1,12))</f>
        <v>222334275.56287283</v>
      </c>
      <c r="D34" s="3">
        <f ca="1">SUM(OFFSET($N$21,0,(COLUMN(O21)-COLUMN($N$21))*12,1,12))</f>
        <v>196187053.83924085</v>
      </c>
      <c r="E34" s="3">
        <f ca="1">SUM(OFFSET($H$21,0,(COLUMN(J21)-COLUMN($H$21))*12,1,12))</f>
        <v>182134775.40720579</v>
      </c>
      <c r="F34" s="3">
        <f ca="1">SUM(OFFSET($H$21,0,(COLUMN(K21)-COLUMN($H$21))*12,1,12))</f>
        <v>152105224.48836386</v>
      </c>
      <c r="G34" s="3">
        <f ca="1">SUM(OFFSET($H$21,0,(COLUMN(L21)-COLUMN($H$21))*12,1,12))</f>
        <v>119312954.88498846</v>
      </c>
      <c r="H34" s="3">
        <f ca="1">SUM(OFFSET($H$21,0,(COLUMN(M21)-COLUMN($H$21))*12,1,12))</f>
        <v>83503796.478102535</v>
      </c>
      <c r="I34" s="3">
        <f t="shared" ref="I34:K34" ca="1" si="92">SUM(OFFSET($H$21,0,(COLUMN(N21)-COLUMN($H$21))*12,1,12))</f>
        <v>44400195.497783162</v>
      </c>
      <c r="J34" s="3">
        <f t="shared" ca="1" si="92"/>
        <v>6424603.7311389195</v>
      </c>
      <c r="K34" s="3">
        <f t="shared" ca="1" si="92"/>
        <v>0</v>
      </c>
    </row>
    <row r="35" spans="1:11" x14ac:dyDescent="0.45">
      <c r="A35" t="s">
        <v>160</v>
      </c>
      <c r="B35" s="3">
        <f>SUM(B20:M20)</f>
        <v>0</v>
      </c>
      <c r="C35" s="3">
        <f ca="1">SUM(OFFSET($N$20,0,(COLUMN(N22)-COLUMN($N$22))*12,1,12))</f>
        <v>263153236.99070632</v>
      </c>
      <c r="D35" s="3">
        <f ca="1">SUM(OFFSET($N$20,0,(COLUMN(O22)-COLUMN($N$22))*12,1,12))</f>
        <v>312355883.72929174</v>
      </c>
      <c r="E35" s="3">
        <f ca="1">SUM(OFFSET($N$20,0,(COLUMN(P22)-COLUMN($N$22))*12,1,12))</f>
        <v>341092625.03238636</v>
      </c>
      <c r="F35" s="3">
        <f ca="1">SUM(OFFSET($N$20,0,(COLUMN(Q22)-COLUMN($N$22))*12,1,12))</f>
        <v>372473146.53536582</v>
      </c>
      <c r="G35" s="3">
        <f ca="1">SUM(OFFSET($N$20,0,(COLUMN(R22)-COLUMN($N$22))*12,1,12))</f>
        <v>406740676.01661921</v>
      </c>
      <c r="H35" s="3">
        <f t="shared" ref="H35:K35" ca="1" si="93">SUM(OFFSET($N$20,0,(COLUMN(S22)-COLUMN($N$22))*12,1,12))</f>
        <v>444160818.21014804</v>
      </c>
      <c r="I35" s="3">
        <f t="shared" ca="1" si="93"/>
        <v>485023613.48548156</v>
      </c>
      <c r="J35" s="3">
        <f t="shared" ca="1" si="93"/>
        <v>0</v>
      </c>
      <c r="K35" s="3">
        <f t="shared" ca="1" si="93"/>
        <v>0</v>
      </c>
    </row>
    <row r="36" spans="1:11" x14ac:dyDescent="0.45">
      <c r="B36" s="3">
        <f>B34+B35</f>
        <v>193023090.7389532</v>
      </c>
      <c r="C36" s="3">
        <f ca="1">C34+C35</f>
        <v>485487512.55357915</v>
      </c>
      <c r="D36" s="3">
        <f ca="1">D34+D35</f>
        <v>508542937.56853259</v>
      </c>
      <c r="E36" s="3">
        <f ca="1">E34+E35</f>
        <v>523227400.43959212</v>
      </c>
      <c r="F36" s="3">
        <f ca="1">F34+F35</f>
        <v>524578371.02372968</v>
      </c>
      <c r="G36" s="3">
        <f t="shared" ref="G36" ca="1" si="94">G34+G35</f>
        <v>526053630.90160763</v>
      </c>
      <c r="H36" s="3">
        <f t="shared" ref="H36:K36" ca="1" si="95">H34+H35</f>
        <v>527664614.68825054</v>
      </c>
      <c r="I36" s="3">
        <f t="shared" ca="1" si="95"/>
        <v>529423808.98326474</v>
      </c>
      <c r="J36" s="3">
        <f t="shared" ca="1" si="95"/>
        <v>6424603.7311389195</v>
      </c>
      <c r="K36" s="3">
        <f t="shared" ca="1" si="95"/>
        <v>0</v>
      </c>
    </row>
    <row r="38" spans="1:11" x14ac:dyDescent="0.45">
      <c r="D38" s="3"/>
    </row>
    <row r="39" spans="1:11" x14ac:dyDescent="0.45">
      <c r="C39" s="10"/>
    </row>
    <row r="40" spans="1:11" x14ac:dyDescent="0.45">
      <c r="E40" s="10"/>
      <c r="F40" s="10"/>
    </row>
    <row r="41" spans="1:11" x14ac:dyDescent="0.45">
      <c r="B41" s="3"/>
      <c r="C41" s="3"/>
      <c r="D41" s="3"/>
      <c r="E41" s="3"/>
      <c r="F41" s="3"/>
      <c r="G41" s="3"/>
      <c r="H41" s="3"/>
      <c r="I41" s="3"/>
      <c r="J41" s="3"/>
      <c r="K41" s="3"/>
    </row>
    <row r="50" spans="22:27" x14ac:dyDescent="0.45">
      <c r="V50" s="9"/>
      <c r="W50" s="9"/>
      <c r="X50" s="9"/>
      <c r="Y50" s="9"/>
      <c r="Z50" s="9"/>
    </row>
    <row r="51" spans="22:27" x14ac:dyDescent="0.45">
      <c r="V51" s="9"/>
      <c r="W51" s="10"/>
      <c r="X51" s="10"/>
      <c r="Y51" s="10"/>
      <c r="Z51" s="10"/>
      <c r="AA51" s="3"/>
    </row>
    <row r="52" spans="22:27" x14ac:dyDescent="0.45">
      <c r="V52" s="9"/>
      <c r="W52" s="10"/>
      <c r="X52" s="10"/>
      <c r="Y52" s="10"/>
      <c r="Z52" s="10"/>
      <c r="AA52" s="3"/>
    </row>
    <row r="53" spans="22:27" x14ac:dyDescent="0.45">
      <c r="V53" s="9"/>
      <c r="W53" s="10"/>
      <c r="X53" s="10"/>
      <c r="Y53" s="10"/>
      <c r="Z53" s="10"/>
      <c r="AA53" s="3"/>
    </row>
    <row r="54" spans="22:27" x14ac:dyDescent="0.45">
      <c r="V54" s="9"/>
      <c r="W54" s="10"/>
      <c r="X54" s="10"/>
      <c r="Y54" s="10"/>
      <c r="Z54" s="10"/>
      <c r="AA54" s="3"/>
    </row>
    <row r="55" spans="22:27" x14ac:dyDescent="0.45">
      <c r="V55" s="9"/>
      <c r="W55" s="10"/>
      <c r="X55" s="10"/>
      <c r="Y55" s="10"/>
      <c r="Z55" s="10"/>
      <c r="AA55" s="3"/>
    </row>
    <row r="56" spans="22:27" x14ac:dyDescent="0.45">
      <c r="V56" s="9"/>
      <c r="W56" s="10"/>
      <c r="X56" s="10"/>
      <c r="Y56" s="10"/>
      <c r="Z56" s="10"/>
      <c r="AA56" s="3"/>
    </row>
    <row r="57" spans="22:27" x14ac:dyDescent="0.45">
      <c r="V57" s="9"/>
      <c r="W57" s="10"/>
      <c r="X57" s="10"/>
      <c r="Y57" s="10"/>
      <c r="Z57" s="10"/>
      <c r="AA57" s="3"/>
    </row>
    <row r="58" spans="22:27" x14ac:dyDescent="0.45">
      <c r="V58" s="9"/>
      <c r="W58" s="10"/>
      <c r="X58" s="10"/>
      <c r="Y58" s="10"/>
      <c r="Z58" s="10"/>
      <c r="AA58" s="3"/>
    </row>
    <row r="59" spans="22:27" x14ac:dyDescent="0.45">
      <c r="V59" s="9"/>
      <c r="W59" s="10"/>
      <c r="X59" s="10"/>
      <c r="Y59" s="10"/>
      <c r="Z59" s="10"/>
      <c r="AA59" s="3"/>
    </row>
    <row r="60" spans="22:27" x14ac:dyDescent="0.45">
      <c r="W60" s="3"/>
      <c r="X60" s="3"/>
      <c r="Y60" s="3"/>
      <c r="Z60" s="3"/>
      <c r="AA60" s="3"/>
    </row>
    <row r="61" spans="22:27" x14ac:dyDescent="0.45">
      <c r="W61" s="3"/>
      <c r="X61" s="3"/>
      <c r="Y61" s="3"/>
      <c r="Z61" s="3"/>
      <c r="AA61" s="3"/>
    </row>
    <row r="62" spans="22:27" x14ac:dyDescent="0.45">
      <c r="V62" s="6"/>
      <c r="W62" s="7"/>
      <c r="X62" s="3"/>
      <c r="Y62" s="3"/>
      <c r="Z62" s="7"/>
      <c r="AA62" s="3"/>
    </row>
    <row r="63" spans="22:27" x14ac:dyDescent="0.45">
      <c r="W63" s="3"/>
      <c r="X63" s="3"/>
      <c r="Y63" s="3"/>
      <c r="Z63" s="3"/>
      <c r="AA63" s="3"/>
    </row>
    <row r="64" spans="22:27" x14ac:dyDescent="0.45">
      <c r="W64" s="3"/>
      <c r="X64" s="3"/>
      <c r="Y64" s="3"/>
      <c r="Z64" s="3"/>
      <c r="AA64" s="3"/>
    </row>
    <row r="65" spans="23:27" x14ac:dyDescent="0.45">
      <c r="W65" s="3"/>
      <c r="X65" s="3"/>
      <c r="Y65" s="3"/>
      <c r="Z65" s="3"/>
      <c r="AA65" s="3"/>
    </row>
    <row r="66" spans="23:27" x14ac:dyDescent="0.45">
      <c r="W66" s="3"/>
      <c r="X66" s="3"/>
      <c r="Y66" s="3"/>
      <c r="Z66" s="3"/>
      <c r="AA66" s="3"/>
    </row>
    <row r="67" spans="23:27" x14ac:dyDescent="0.45">
      <c r="W67" s="3"/>
      <c r="X67" s="3"/>
      <c r="Y67" s="3"/>
      <c r="Z67" s="3"/>
      <c r="AA67" s="3"/>
    </row>
    <row r="68" spans="23:27" x14ac:dyDescent="0.45">
      <c r="W68" s="3"/>
      <c r="X68" s="3"/>
      <c r="Y68" s="3"/>
      <c r="Z68" s="3"/>
      <c r="AA68" s="3"/>
    </row>
    <row r="69" spans="23:27" x14ac:dyDescent="0.45">
      <c r="W69" s="3"/>
      <c r="X69" s="3"/>
      <c r="Y69" s="3"/>
      <c r="Z69" s="3"/>
      <c r="AA69" s="3"/>
    </row>
    <row r="70" spans="23:27" x14ac:dyDescent="0.45">
      <c r="W70" s="3"/>
      <c r="X70" s="3"/>
      <c r="Y70" s="3"/>
      <c r="Z70" s="3"/>
      <c r="AA70" s="3"/>
    </row>
    <row r="71" spans="23:27" x14ac:dyDescent="0.45">
      <c r="W71" s="3"/>
      <c r="X71" s="3"/>
      <c r="Y71" s="3"/>
      <c r="Z71" s="3"/>
      <c r="AA71" s="3"/>
    </row>
    <row r="72" spans="23:27" x14ac:dyDescent="0.45">
      <c r="W72" s="3"/>
      <c r="X72" s="3"/>
      <c r="Y72" s="3"/>
      <c r="Z72" s="3"/>
      <c r="AA72" s="3"/>
    </row>
    <row r="73" spans="23:27" x14ac:dyDescent="0.45">
      <c r="W73" s="3"/>
      <c r="X73" s="3"/>
      <c r="Y73" s="3"/>
      <c r="Z73" s="3"/>
      <c r="AA73" s="3"/>
    </row>
    <row r="74" spans="23:27" x14ac:dyDescent="0.45">
      <c r="W74" s="3"/>
      <c r="X74" s="3"/>
      <c r="Y74" s="3"/>
      <c r="Z74" s="3"/>
      <c r="AA74" s="3"/>
    </row>
    <row r="75" spans="23:27" x14ac:dyDescent="0.45">
      <c r="W75" s="3"/>
      <c r="X75" s="3"/>
      <c r="Y75" s="3"/>
      <c r="Z75" s="3"/>
      <c r="AA75" s="3"/>
    </row>
    <row r="76" spans="23:27" x14ac:dyDescent="0.45">
      <c r="W76" s="3"/>
      <c r="X76" s="3"/>
      <c r="Y76" s="3"/>
      <c r="Z76" s="3"/>
      <c r="AA76" s="3"/>
    </row>
    <row r="77" spans="23:27" x14ac:dyDescent="0.45">
      <c r="W77" s="3"/>
      <c r="X77" s="3"/>
      <c r="Y77" s="3"/>
      <c r="Z77" s="3"/>
      <c r="AA77" s="3"/>
    </row>
    <row r="78" spans="23:27" x14ac:dyDescent="0.45">
      <c r="W78" s="3"/>
      <c r="X78" s="3"/>
      <c r="Y78" s="3"/>
      <c r="Z78" s="3"/>
      <c r="AA78" s="3"/>
    </row>
    <row r="79" spans="23:27" x14ac:dyDescent="0.45">
      <c r="W79" s="3"/>
      <c r="X79" s="3"/>
      <c r="Y79" s="3"/>
      <c r="Z79" s="3"/>
      <c r="AA79" s="3"/>
    </row>
    <row r="80" spans="23:27" x14ac:dyDescent="0.45">
      <c r="W80" s="3"/>
      <c r="X80" s="3"/>
      <c r="Y80" s="3"/>
      <c r="Z80" s="3"/>
      <c r="AA80" s="3"/>
    </row>
    <row r="81" spans="23:27" x14ac:dyDescent="0.45">
      <c r="W81" s="3"/>
      <c r="X81" s="3"/>
      <c r="Y81" s="3"/>
      <c r="Z81" s="3"/>
      <c r="AA81" s="3"/>
    </row>
    <row r="82" spans="23:27" x14ac:dyDescent="0.45">
      <c r="W82" s="3"/>
      <c r="X82" s="3"/>
      <c r="Y82" s="3"/>
      <c r="Z82" s="3"/>
      <c r="AA82" s="3"/>
    </row>
    <row r="83" spans="23:27" x14ac:dyDescent="0.45">
      <c r="W83" s="3"/>
      <c r="X83" s="3"/>
      <c r="Y83" s="3"/>
      <c r="Z83" s="3"/>
      <c r="AA83" s="3"/>
    </row>
    <row r="84" spans="23:27" x14ac:dyDescent="0.45">
      <c r="W84" s="3"/>
      <c r="X84" s="3"/>
      <c r="Y84" s="3"/>
      <c r="Z84" s="3"/>
      <c r="AA84" s="3"/>
    </row>
    <row r="85" spans="23:27" x14ac:dyDescent="0.45">
      <c r="W85" s="3"/>
      <c r="X85" s="3"/>
      <c r="Y85" s="3"/>
      <c r="Z85" s="3"/>
      <c r="AA85" s="3"/>
    </row>
    <row r="86" spans="23:27" x14ac:dyDescent="0.45">
      <c r="W86" s="3"/>
      <c r="X86" s="3"/>
      <c r="Y86" s="3"/>
      <c r="Z86" s="3"/>
      <c r="AA86" s="3"/>
    </row>
    <row r="87" spans="23:27" x14ac:dyDescent="0.45">
      <c r="W87" s="3"/>
      <c r="X87" s="3"/>
      <c r="Y87" s="3"/>
      <c r="Z87" s="3"/>
      <c r="AA87" s="3"/>
    </row>
    <row r="88" spans="23:27" x14ac:dyDescent="0.45">
      <c r="W88" s="3"/>
      <c r="X88" s="3"/>
      <c r="Y88" s="3"/>
      <c r="Z88" s="3"/>
      <c r="AA88" s="3"/>
    </row>
    <row r="89" spans="23:27" x14ac:dyDescent="0.45">
      <c r="W89" s="3"/>
      <c r="X89" s="3"/>
      <c r="Y89" s="3"/>
      <c r="Z89" s="3"/>
      <c r="AA89" s="3"/>
    </row>
    <row r="90" spans="23:27" x14ac:dyDescent="0.45">
      <c r="W90" s="3"/>
      <c r="X90" s="3"/>
      <c r="Y90" s="3"/>
      <c r="Z90" s="3"/>
      <c r="AA90" s="3"/>
    </row>
    <row r="91" spans="23:27" x14ac:dyDescent="0.45">
      <c r="W91" s="3"/>
      <c r="X91" s="3"/>
      <c r="Y91" s="3"/>
      <c r="Z91" s="3"/>
      <c r="AA91" s="3"/>
    </row>
    <row r="92" spans="23:27" x14ac:dyDescent="0.45">
      <c r="W92" s="3"/>
      <c r="X92" s="3"/>
      <c r="Y92" s="3"/>
      <c r="Z92" s="3"/>
      <c r="AA92" s="3"/>
    </row>
    <row r="93" spans="23:27" x14ac:dyDescent="0.45">
      <c r="W93" s="3"/>
      <c r="X93" s="3"/>
      <c r="Y93" s="3"/>
      <c r="Z93" s="3"/>
      <c r="AA93" s="3"/>
    </row>
    <row r="94" spans="23:27" x14ac:dyDescent="0.45">
      <c r="W94" s="3"/>
      <c r="X94" s="3"/>
      <c r="Y94" s="3"/>
      <c r="Z94" s="3"/>
      <c r="AA94" s="3"/>
    </row>
    <row r="95" spans="23:27" x14ac:dyDescent="0.45">
      <c r="W95" s="3"/>
      <c r="X95" s="3"/>
      <c r="Y95" s="3"/>
      <c r="Z95" s="3"/>
      <c r="AA95" s="3"/>
    </row>
    <row r="96" spans="23:27" x14ac:dyDescent="0.45">
      <c r="W96" s="3"/>
      <c r="X96" s="3"/>
      <c r="Y96" s="3"/>
      <c r="Z96" s="3"/>
      <c r="AA96" s="3"/>
    </row>
    <row r="97" spans="23:27" x14ac:dyDescent="0.45">
      <c r="W97" s="3"/>
      <c r="X97" s="3"/>
      <c r="Y97" s="3"/>
      <c r="Z97" s="3"/>
      <c r="AA97" s="3"/>
    </row>
    <row r="98" spans="23:27" x14ac:dyDescent="0.45">
      <c r="W98" s="3"/>
      <c r="X98" s="3"/>
      <c r="Y98" s="3"/>
      <c r="Z98" s="3"/>
      <c r="AA98" s="3"/>
    </row>
    <row r="99" spans="23:27" x14ac:dyDescent="0.45">
      <c r="W99" s="3"/>
      <c r="X99" s="3"/>
      <c r="Y99" s="3"/>
      <c r="Z99" s="3"/>
      <c r="AA99" s="3"/>
    </row>
    <row r="100" spans="23:27" x14ac:dyDescent="0.45">
      <c r="W100" s="3"/>
      <c r="X100" s="3"/>
      <c r="Y100" s="3"/>
      <c r="Z100" s="3"/>
      <c r="AA100" s="3"/>
    </row>
    <row r="101" spans="23:27" x14ac:dyDescent="0.45">
      <c r="W101" s="3"/>
      <c r="X101" s="3"/>
      <c r="Y101" s="3"/>
      <c r="Z101" s="3"/>
      <c r="AA101" s="3"/>
    </row>
    <row r="102" spans="23:27" x14ac:dyDescent="0.45">
      <c r="W102" s="3"/>
      <c r="X102" s="3"/>
      <c r="Y102" s="3"/>
      <c r="Z102" s="3"/>
      <c r="AA102" s="3"/>
    </row>
    <row r="103" spans="23:27" x14ac:dyDescent="0.45">
      <c r="W103" s="3"/>
      <c r="X103" s="3"/>
      <c r="Y103" s="3"/>
      <c r="Z103" s="3"/>
      <c r="AA103" s="3"/>
    </row>
    <row r="104" spans="23:27" x14ac:dyDescent="0.45">
      <c r="W104" s="3"/>
      <c r="X104" s="3"/>
      <c r="Y104" s="3"/>
      <c r="Z104" s="3"/>
      <c r="AA104" s="3"/>
    </row>
    <row r="105" spans="23:27" x14ac:dyDescent="0.45">
      <c r="W105" s="3"/>
      <c r="X105" s="3"/>
      <c r="Y105" s="3"/>
      <c r="Z105" s="3"/>
      <c r="AA105" s="3"/>
    </row>
    <row r="106" spans="23:27" x14ac:dyDescent="0.45">
      <c r="W106" s="3"/>
      <c r="X106" s="3"/>
      <c r="Y106" s="3"/>
      <c r="Z106" s="3"/>
      <c r="AA106" s="3"/>
    </row>
    <row r="107" spans="23:27" x14ac:dyDescent="0.45">
      <c r="W107" s="3"/>
      <c r="X107" s="3"/>
      <c r="Y107" s="3"/>
      <c r="Z107" s="3"/>
      <c r="AA107" s="3"/>
    </row>
    <row r="108" spans="23:27" x14ac:dyDescent="0.45">
      <c r="W108" s="3"/>
      <c r="X108" s="3"/>
      <c r="Y108" s="3"/>
      <c r="Z108" s="3"/>
      <c r="AA108" s="3"/>
    </row>
    <row r="109" spans="23:27" x14ac:dyDescent="0.45">
      <c r="W109" s="3"/>
      <c r="X109" s="3"/>
      <c r="Y109" s="3"/>
      <c r="Z109" s="3"/>
      <c r="AA109" s="3"/>
    </row>
    <row r="110" spans="23:27" x14ac:dyDescent="0.45">
      <c r="W110" s="3"/>
      <c r="X110" s="3"/>
      <c r="Y110" s="3"/>
      <c r="Z110" s="3"/>
      <c r="AA110" s="3"/>
    </row>
    <row r="111" spans="23:27" x14ac:dyDescent="0.45">
      <c r="W111" s="3"/>
      <c r="X111" s="3"/>
      <c r="Y111" s="3"/>
      <c r="Z111" s="3"/>
      <c r="AA111" s="3"/>
    </row>
    <row r="112" spans="23:27" x14ac:dyDescent="0.45">
      <c r="W112" s="3"/>
      <c r="X112" s="3"/>
      <c r="Y112" s="3"/>
      <c r="Z112" s="3"/>
      <c r="AA112" s="3"/>
    </row>
    <row r="113" spans="23:27" x14ac:dyDescent="0.45">
      <c r="W113" s="3"/>
      <c r="X113" s="3"/>
      <c r="Y113" s="3"/>
      <c r="Z113" s="3"/>
      <c r="AA113" s="3"/>
    </row>
    <row r="114" spans="23:27" x14ac:dyDescent="0.45">
      <c r="W114" s="3"/>
      <c r="X114" s="3"/>
      <c r="Y114" s="3"/>
      <c r="Z114" s="3"/>
      <c r="AA114" s="3"/>
    </row>
    <row r="115" spans="23:27" x14ac:dyDescent="0.45">
      <c r="W115" s="3"/>
      <c r="X115" s="3"/>
      <c r="Y115" s="3"/>
      <c r="Z115" s="3"/>
      <c r="AA115" s="3"/>
    </row>
    <row r="116" spans="23:27" x14ac:dyDescent="0.45">
      <c r="W116" s="3"/>
      <c r="X116" s="3"/>
      <c r="Y116" s="3"/>
      <c r="Z116" s="3"/>
      <c r="AA116" s="3"/>
    </row>
    <row r="117" spans="23:27" x14ac:dyDescent="0.45">
      <c r="W117" s="3"/>
      <c r="X117" s="3"/>
      <c r="Y117" s="3"/>
      <c r="Z117" s="3"/>
      <c r="AA117" s="3"/>
    </row>
    <row r="118" spans="23:27" x14ac:dyDescent="0.45">
      <c r="W118" s="3"/>
      <c r="X118" s="3"/>
      <c r="Y118" s="3"/>
      <c r="Z118" s="3"/>
      <c r="AA118" s="3"/>
    </row>
    <row r="119" spans="23:27" x14ac:dyDescent="0.45">
      <c r="W119" s="3"/>
      <c r="X119" s="3"/>
      <c r="Y119" s="3"/>
      <c r="Z119" s="3"/>
      <c r="AA119" s="3"/>
    </row>
    <row r="120" spans="23:27" x14ac:dyDescent="0.45">
      <c r="W120" s="3"/>
      <c r="X120" s="3"/>
      <c r="Y120" s="3"/>
      <c r="Z120" s="3"/>
      <c r="AA120" s="3"/>
    </row>
    <row r="121" spans="23:27" x14ac:dyDescent="0.45">
      <c r="W121" s="3"/>
      <c r="X121" s="3"/>
      <c r="Y121" s="3"/>
      <c r="Z121" s="3"/>
      <c r="AA121" s="3"/>
    </row>
    <row r="122" spans="23:27" x14ac:dyDescent="0.45">
      <c r="W122" s="3"/>
      <c r="X122" s="3"/>
      <c r="Y122" s="3"/>
      <c r="Z122" s="3"/>
      <c r="AA122" s="3"/>
    </row>
    <row r="123" spans="23:27" x14ac:dyDescent="0.45">
      <c r="W123" s="3"/>
      <c r="X123" s="3"/>
      <c r="Y123" s="3"/>
      <c r="Z123" s="3"/>
      <c r="AA123" s="3"/>
    </row>
    <row r="124" spans="23:27" x14ac:dyDescent="0.45">
      <c r="W124" s="3"/>
      <c r="X124" s="3"/>
      <c r="Y124" s="3"/>
      <c r="Z124" s="3"/>
      <c r="AA124" s="3"/>
    </row>
    <row r="125" spans="23:27" x14ac:dyDescent="0.45">
      <c r="W125" s="3"/>
      <c r="X125" s="3"/>
      <c r="Y125" s="3"/>
      <c r="Z125" s="3"/>
      <c r="AA125" s="3"/>
    </row>
    <row r="126" spans="23:27" x14ac:dyDescent="0.45">
      <c r="W126" s="3"/>
      <c r="X126" s="3"/>
      <c r="Y126" s="3"/>
      <c r="Z126" s="3"/>
      <c r="AA126" s="3"/>
    </row>
    <row r="127" spans="23:27" x14ac:dyDescent="0.45">
      <c r="W127" s="3"/>
      <c r="X127" s="3"/>
      <c r="Y127" s="3"/>
      <c r="Z127" s="3"/>
      <c r="AA127" s="3"/>
    </row>
    <row r="128" spans="23:27" x14ac:dyDescent="0.45">
      <c r="W128" s="3"/>
      <c r="X128" s="3"/>
      <c r="Y128" s="3"/>
      <c r="Z128" s="3"/>
      <c r="AA128" s="3"/>
    </row>
    <row r="129" spans="23:27" x14ac:dyDescent="0.45">
      <c r="W129" s="3"/>
      <c r="X129" s="3"/>
      <c r="Y129" s="3"/>
      <c r="Z129" s="3"/>
      <c r="AA129" s="3"/>
    </row>
    <row r="130" spans="23:27" x14ac:dyDescent="0.45">
      <c r="W130" s="3"/>
      <c r="X130" s="3"/>
      <c r="Y130" s="3"/>
      <c r="Z130" s="3"/>
      <c r="AA130" s="3"/>
    </row>
    <row r="131" spans="23:27" x14ac:dyDescent="0.45">
      <c r="W131" s="3"/>
      <c r="X131" s="3"/>
      <c r="Y131" s="3"/>
      <c r="Z131" s="3"/>
      <c r="AA131" s="3"/>
    </row>
    <row r="132" spans="23:27" x14ac:dyDescent="0.45">
      <c r="W132" s="3"/>
      <c r="X132" s="3"/>
      <c r="Y132" s="3"/>
      <c r="Z132" s="3"/>
      <c r="AA132" s="3"/>
    </row>
    <row r="133" spans="23:27" x14ac:dyDescent="0.45">
      <c r="W133" s="3"/>
      <c r="X133" s="3"/>
      <c r="Y133" s="3"/>
      <c r="Z133" s="3"/>
      <c r="AA133" s="3"/>
    </row>
    <row r="134" spans="23:27" x14ac:dyDescent="0.45">
      <c r="W134" s="3"/>
      <c r="X134" s="3"/>
      <c r="Y134" s="3"/>
      <c r="Z134" s="3"/>
      <c r="AA134" s="3"/>
    </row>
    <row r="135" spans="23:27" x14ac:dyDescent="0.45">
      <c r="W135" s="3"/>
      <c r="X135" s="3"/>
      <c r="Y135" s="3"/>
      <c r="Z135" s="3"/>
      <c r="AA135" s="3"/>
    </row>
    <row r="136" spans="23:27" x14ac:dyDescent="0.45">
      <c r="W136" s="3"/>
      <c r="X136" s="3"/>
      <c r="Y136" s="3"/>
      <c r="Z136" s="3"/>
      <c r="AA136" s="3"/>
    </row>
    <row r="137" spans="23:27" x14ac:dyDescent="0.45">
      <c r="W137" s="3"/>
      <c r="X137" s="3"/>
      <c r="Y137" s="3"/>
      <c r="Z137" s="3"/>
      <c r="AA137" s="3"/>
    </row>
    <row r="138" spans="23:27" x14ac:dyDescent="0.45">
      <c r="W138" s="3"/>
      <c r="X138" s="3"/>
      <c r="Y138" s="3"/>
      <c r="Z138" s="3"/>
      <c r="AA138" s="3"/>
    </row>
    <row r="139" spans="23:27" x14ac:dyDescent="0.45">
      <c r="W139" s="3"/>
      <c r="X139" s="3"/>
      <c r="Y139" s="3"/>
      <c r="Z139" s="3"/>
      <c r="AA139" s="3"/>
    </row>
    <row r="140" spans="23:27" x14ac:dyDescent="0.45">
      <c r="W140" s="3"/>
      <c r="X140" s="3"/>
      <c r="Y140" s="3"/>
      <c r="Z140" s="3"/>
      <c r="AA140" s="3"/>
    </row>
    <row r="141" spans="23:27" x14ac:dyDescent="0.45">
      <c r="W141" s="3"/>
      <c r="X141" s="3"/>
      <c r="Y141" s="3"/>
      <c r="Z141" s="3"/>
      <c r="AA141" s="3"/>
    </row>
    <row r="142" spans="23:27" x14ac:dyDescent="0.45">
      <c r="W142" s="3"/>
      <c r="X142" s="3"/>
      <c r="Y142" s="3"/>
      <c r="Z142" s="3"/>
      <c r="AA142" s="3"/>
    </row>
    <row r="143" spans="23:27" x14ac:dyDescent="0.45">
      <c r="W143" s="3"/>
      <c r="X143" s="3"/>
      <c r="Y143" s="3"/>
      <c r="Z143" s="3"/>
      <c r="AA143" s="3"/>
    </row>
    <row r="144" spans="23:27" x14ac:dyDescent="0.45">
      <c r="W144" s="3"/>
      <c r="X144" s="3"/>
      <c r="Y144" s="3"/>
      <c r="Z144" s="3"/>
      <c r="AA144" s="3"/>
    </row>
    <row r="145" spans="3:27" x14ac:dyDescent="0.45">
      <c r="W145" s="3"/>
      <c r="X145" s="3"/>
      <c r="Y145" s="3"/>
      <c r="Z145" s="3"/>
      <c r="AA145" s="3"/>
    </row>
    <row r="146" spans="3:27" x14ac:dyDescent="0.45">
      <c r="W146" s="3"/>
      <c r="X146" s="3"/>
      <c r="Y146" s="3"/>
      <c r="Z146" s="3"/>
      <c r="AA146" s="3"/>
    </row>
    <row r="147" spans="3:27" x14ac:dyDescent="0.45">
      <c r="W147" s="3"/>
      <c r="X147" s="3"/>
      <c r="Y147" s="3"/>
      <c r="Z147" s="3"/>
      <c r="AA147" s="3"/>
    </row>
    <row r="148" spans="3:27" x14ac:dyDescent="0.45">
      <c r="C148" s="3"/>
      <c r="D148" s="3"/>
      <c r="E148" s="3"/>
      <c r="F148" s="3"/>
      <c r="H148" s="3"/>
      <c r="W148" s="3"/>
      <c r="X148" s="3"/>
      <c r="Y148" s="3"/>
      <c r="Z148" s="3"/>
      <c r="AA148" s="3"/>
    </row>
    <row r="149" spans="3:27" x14ac:dyDescent="0.45">
      <c r="C149" s="3"/>
      <c r="D149" s="3"/>
      <c r="E149" s="3"/>
      <c r="H149" s="3"/>
      <c r="W149" s="3"/>
      <c r="X149" s="3"/>
      <c r="Y149" s="3"/>
      <c r="Z149" s="3"/>
      <c r="AA149" s="3"/>
    </row>
    <row r="150" spans="3:27" x14ac:dyDescent="0.45">
      <c r="C150" s="3"/>
      <c r="D150" s="3"/>
      <c r="E150" s="3"/>
      <c r="H150" s="3"/>
      <c r="W150" s="3"/>
      <c r="X150" s="3"/>
      <c r="Y150" s="3"/>
      <c r="Z150" s="3"/>
      <c r="AA150" s="3"/>
    </row>
    <row r="151" spans="3:27" x14ac:dyDescent="0.45">
      <c r="C151" s="3"/>
      <c r="D151" s="3"/>
      <c r="E151" s="3"/>
      <c r="H151" s="3"/>
      <c r="W151" s="3"/>
      <c r="X151" s="3"/>
      <c r="Y151" s="3"/>
      <c r="Z151" s="3"/>
      <c r="AA151" s="3"/>
    </row>
    <row r="152" spans="3:27" x14ac:dyDescent="0.45">
      <c r="C152" s="3"/>
      <c r="D152" s="3"/>
      <c r="E152" s="3"/>
      <c r="H152" s="3"/>
      <c r="W152" s="3"/>
      <c r="X152" s="3"/>
      <c r="Y152" s="3"/>
      <c r="Z152" s="3"/>
      <c r="AA152" s="3"/>
    </row>
    <row r="153" spans="3:27" x14ac:dyDescent="0.45">
      <c r="C153" s="3"/>
      <c r="D153" s="3"/>
      <c r="E153" s="3"/>
      <c r="W153" s="3"/>
      <c r="X153" s="3"/>
      <c r="Y153" s="3"/>
      <c r="Z153" s="3"/>
      <c r="AA153" s="3"/>
    </row>
    <row r="154" spans="3:27" x14ac:dyDescent="0.45">
      <c r="C154" s="3"/>
      <c r="D154" s="3"/>
      <c r="E154" s="3"/>
      <c r="W154" s="3"/>
      <c r="X154" s="3"/>
      <c r="Y154" s="3"/>
      <c r="Z154" s="3"/>
      <c r="AA154" s="3"/>
    </row>
    <row r="155" spans="3:27" x14ac:dyDescent="0.45">
      <c r="C155" s="3"/>
      <c r="D155" s="3"/>
      <c r="E155" s="3"/>
      <c r="W155" s="3"/>
      <c r="X155" s="3"/>
      <c r="Y155" s="3"/>
      <c r="Z155" s="3"/>
      <c r="AA155" s="3"/>
    </row>
    <row r="156" spans="3:27" x14ac:dyDescent="0.45">
      <c r="C156" s="3"/>
      <c r="D156" s="3"/>
      <c r="E156" s="3"/>
      <c r="W156" s="3"/>
      <c r="X156" s="3"/>
      <c r="Y156" s="3"/>
      <c r="Z156" s="3"/>
      <c r="AA156" s="3"/>
    </row>
    <row r="157" spans="3:27" x14ac:dyDescent="0.45">
      <c r="C157" s="3"/>
      <c r="D157" s="3"/>
      <c r="E157" s="3"/>
      <c r="W157" s="3"/>
      <c r="X157" s="3"/>
      <c r="Y157" s="3"/>
      <c r="Z157" s="3"/>
      <c r="AA157" s="3"/>
    </row>
    <row r="158" spans="3:27" x14ac:dyDescent="0.45">
      <c r="W158" s="3"/>
      <c r="X158" s="3"/>
      <c r="Y158" s="3"/>
      <c r="Z158" s="3"/>
      <c r="AA158" s="3"/>
    </row>
    <row r="159" spans="3:27" x14ac:dyDescent="0.45">
      <c r="W159" s="3"/>
      <c r="X159" s="3"/>
      <c r="Y159" s="3"/>
      <c r="Z159" s="3"/>
      <c r="AA159" s="3"/>
    </row>
    <row r="160" spans="3:27" x14ac:dyDescent="0.45">
      <c r="W160" s="3"/>
      <c r="X160" s="3"/>
      <c r="Y160" s="3"/>
      <c r="Z160" s="3"/>
      <c r="AA160" s="3"/>
    </row>
    <row r="161" spans="2:28" x14ac:dyDescent="0.45">
      <c r="B161" s="5"/>
      <c r="W161" s="3"/>
      <c r="X161" s="3"/>
      <c r="Y161" s="3"/>
      <c r="Z161" s="3"/>
      <c r="AA161" s="3"/>
    </row>
    <row r="162" spans="2:28" x14ac:dyDescent="0.45">
      <c r="W162" s="3"/>
      <c r="X162" s="3"/>
      <c r="Y162" s="3"/>
      <c r="Z162" s="3"/>
      <c r="AA162" s="3"/>
    </row>
    <row r="163" spans="2:28" x14ac:dyDescent="0.45">
      <c r="W163" s="3"/>
      <c r="X163" s="3"/>
      <c r="Y163" s="3"/>
      <c r="Z163" s="3"/>
      <c r="AA163" s="3"/>
    </row>
    <row r="164" spans="2:28" x14ac:dyDescent="0.45">
      <c r="W164" s="3"/>
      <c r="X164" s="3"/>
      <c r="Y164" s="3"/>
      <c r="Z164" s="3"/>
      <c r="AA164" s="3"/>
    </row>
    <row r="165" spans="2:28" x14ac:dyDescent="0.45">
      <c r="W165" s="3"/>
      <c r="X165" s="3"/>
      <c r="Y165" s="3"/>
      <c r="Z165" s="3"/>
      <c r="AA165" s="3"/>
    </row>
    <row r="166" spans="2:28" x14ac:dyDescent="0.45">
      <c r="W166" s="3"/>
      <c r="X166" s="3"/>
      <c r="Y166" s="3"/>
      <c r="Z166" s="3"/>
      <c r="AA166" s="3"/>
    </row>
    <row r="167" spans="2:28" x14ac:dyDescent="0.45">
      <c r="W167" s="3"/>
      <c r="X167" s="3"/>
      <c r="Y167" s="3"/>
      <c r="Z167" s="3"/>
      <c r="AA167" s="3"/>
    </row>
    <row r="168" spans="2:28" x14ac:dyDescent="0.45">
      <c r="W168" s="3"/>
      <c r="X168" s="3"/>
      <c r="Y168" s="3"/>
      <c r="Z168" s="3"/>
      <c r="AA168" s="3"/>
    </row>
    <row r="169" spans="2:28" x14ac:dyDescent="0.45">
      <c r="W169" s="3"/>
      <c r="X169" s="3"/>
      <c r="Y169" s="3"/>
      <c r="Z169" s="3"/>
      <c r="AA169" s="3"/>
    </row>
    <row r="170" spans="2:28" x14ac:dyDescent="0.45">
      <c r="W170" s="3"/>
      <c r="X170" s="3"/>
      <c r="Y170" s="3"/>
      <c r="Z170" s="3"/>
      <c r="AA170" s="3"/>
    </row>
    <row r="173" spans="2:28" x14ac:dyDescent="0.45">
      <c r="AB173" s="3"/>
    </row>
  </sheetData>
  <mergeCells count="3">
    <mergeCell ref="A30:C30"/>
    <mergeCell ref="A2:C3"/>
    <mergeCell ref="A16:C1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8F060-D032-374B-AF2A-F363A5002988}">
  <dimension ref="A1:V299"/>
  <sheetViews>
    <sheetView showGridLines="0" zoomScale="109" zoomScaleNormal="90" workbookViewId="0">
      <pane xSplit="2" ySplit="5" topLeftCell="E27" activePane="bottomRight" state="frozen"/>
      <selection pane="topRight" activeCell="B40" sqref="B40"/>
      <selection pane="bottomLeft" activeCell="B40" sqref="B40"/>
      <selection pane="bottomRight" activeCell="P36" sqref="P36"/>
    </sheetView>
  </sheetViews>
  <sheetFormatPr defaultColWidth="11.5" defaultRowHeight="14.6" x14ac:dyDescent="0.5"/>
  <cols>
    <col min="1" max="1" width="7.5" style="14" customWidth="1"/>
    <col min="2" max="2" width="14" style="17" customWidth="1"/>
    <col min="3" max="3" width="12" style="14" customWidth="1"/>
    <col min="4" max="4" width="15" style="14" customWidth="1"/>
    <col min="5" max="5" width="10" style="14" customWidth="1"/>
    <col min="6" max="6" width="12.85546875" style="14" customWidth="1"/>
    <col min="7" max="7" width="14.5" style="14" customWidth="1"/>
    <col min="8" max="8" width="15" style="14" customWidth="1"/>
    <col min="9" max="9" width="10" style="14" customWidth="1"/>
    <col min="10" max="10" width="10.5" style="14" customWidth="1"/>
    <col min="11" max="11" width="15" style="14" customWidth="1"/>
    <col min="12" max="12" width="15.5" style="14" bestFit="1" customWidth="1"/>
    <col min="13" max="13" width="13" style="14" customWidth="1"/>
    <col min="14" max="14" width="5" style="16" customWidth="1"/>
    <col min="15" max="15" width="6" style="14" customWidth="1"/>
    <col min="16" max="16" width="14.5" style="15" customWidth="1"/>
    <col min="17" max="17" width="11.5" style="15"/>
    <col min="18" max="16384" width="11.5" style="14"/>
  </cols>
  <sheetData>
    <row r="1" spans="1:22" ht="70.5" customHeight="1" x14ac:dyDescent="0.5">
      <c r="C1" s="359"/>
      <c r="D1" s="359"/>
      <c r="E1" s="359"/>
      <c r="F1" s="359"/>
      <c r="G1" s="359"/>
      <c r="H1" s="359"/>
      <c r="I1" s="359"/>
      <c r="J1" s="359"/>
      <c r="K1" s="359"/>
      <c r="L1" s="359"/>
      <c r="M1" s="359"/>
    </row>
    <row r="2" spans="1:22" ht="15" x14ac:dyDescent="0.5">
      <c r="A2" s="68"/>
      <c r="B2" s="68"/>
      <c r="C2" s="360" t="s">
        <v>161</v>
      </c>
      <c r="D2" s="360"/>
      <c r="E2" s="360"/>
      <c r="F2" s="360"/>
      <c r="G2" s="360"/>
      <c r="H2" s="360"/>
      <c r="I2" s="360"/>
      <c r="J2" s="360"/>
      <c r="K2" s="360"/>
      <c r="L2" s="360"/>
      <c r="M2" s="360"/>
    </row>
    <row r="3" spans="1:22" ht="13.5" customHeight="1" x14ac:dyDescent="0.5">
      <c r="B3" s="68"/>
      <c r="C3" s="361" t="s">
        <v>162</v>
      </c>
      <c r="D3" s="361"/>
      <c r="E3" s="361"/>
      <c r="F3" s="361"/>
      <c r="G3" s="361"/>
      <c r="H3" s="361"/>
      <c r="I3" s="361"/>
      <c r="J3" s="361"/>
      <c r="K3" s="361"/>
      <c r="L3" s="361"/>
      <c r="M3" s="361"/>
    </row>
    <row r="4" spans="1:22" ht="15" x14ac:dyDescent="0.5">
      <c r="A4" s="67"/>
      <c r="B4" s="66"/>
      <c r="C4" s="365" t="s">
        <v>163</v>
      </c>
      <c r="D4" s="365"/>
      <c r="E4" s="365"/>
      <c r="F4" s="365"/>
      <c r="G4" s="365" t="s">
        <v>164</v>
      </c>
      <c r="H4" s="365"/>
      <c r="I4" s="365"/>
      <c r="J4" s="365"/>
      <c r="K4" s="365" t="s">
        <v>165</v>
      </c>
      <c r="L4" s="365"/>
      <c r="M4" s="365"/>
    </row>
    <row r="5" spans="1:22" s="44" customFormat="1" ht="29.15" x14ac:dyDescent="0.45">
      <c r="A5" s="363"/>
      <c r="B5" s="364"/>
      <c r="C5" s="65" t="s">
        <v>166</v>
      </c>
      <c r="D5" s="65" t="s">
        <v>167</v>
      </c>
      <c r="E5" s="64" t="s">
        <v>168</v>
      </c>
      <c r="F5" s="64" t="s">
        <v>169</v>
      </c>
      <c r="G5" s="64" t="s">
        <v>170</v>
      </c>
      <c r="H5" s="63" t="s">
        <v>167</v>
      </c>
      <c r="I5" s="64" t="s">
        <v>168</v>
      </c>
      <c r="J5" s="64" t="s">
        <v>169</v>
      </c>
      <c r="K5" s="63" t="s">
        <v>171</v>
      </c>
      <c r="L5" s="63" t="s">
        <v>172</v>
      </c>
      <c r="M5" s="63" t="s">
        <v>173</v>
      </c>
      <c r="N5" s="46"/>
      <c r="P5" s="45"/>
      <c r="Q5" s="45"/>
    </row>
    <row r="6" spans="1:22" s="44" customFormat="1" ht="14.25" customHeight="1" x14ac:dyDescent="0.5">
      <c r="A6" s="62">
        <v>1999</v>
      </c>
      <c r="B6" s="61" t="s">
        <v>174</v>
      </c>
      <c r="C6" s="60">
        <v>43.87</v>
      </c>
      <c r="D6" s="59">
        <v>41.15</v>
      </c>
      <c r="E6" s="59">
        <v>22.06</v>
      </c>
      <c r="F6" s="58">
        <v>47.91</v>
      </c>
      <c r="G6" s="59">
        <v>49.29</v>
      </c>
      <c r="H6" s="59">
        <v>44.22</v>
      </c>
      <c r="I6" s="59">
        <v>24.36</v>
      </c>
      <c r="J6" s="58">
        <v>52.03</v>
      </c>
      <c r="K6" s="59">
        <v>45.76</v>
      </c>
      <c r="L6" s="59">
        <v>65.2</v>
      </c>
      <c r="M6" s="58">
        <v>38.840000000000003</v>
      </c>
      <c r="N6" s="46"/>
      <c r="O6" s="52"/>
      <c r="P6" s="358" t="s">
        <v>175</v>
      </c>
      <c r="Q6" s="358"/>
      <c r="R6" s="52"/>
      <c r="S6" s="52"/>
      <c r="T6" s="52"/>
      <c r="U6" s="52"/>
      <c r="V6" s="52"/>
    </row>
    <row r="7" spans="1:22" s="44" customFormat="1" x14ac:dyDescent="0.5">
      <c r="A7" s="41"/>
      <c r="B7" s="40" t="s">
        <v>176</v>
      </c>
      <c r="C7" s="39">
        <v>44.59</v>
      </c>
      <c r="D7" s="29">
        <v>45.65</v>
      </c>
      <c r="E7" s="29">
        <v>23.75</v>
      </c>
      <c r="F7" s="28">
        <v>48.46</v>
      </c>
      <c r="G7" s="29">
        <v>50.14</v>
      </c>
      <c r="H7" s="29">
        <v>44.74</v>
      </c>
      <c r="I7" s="29">
        <v>25.04</v>
      </c>
      <c r="J7" s="28">
        <v>52.98</v>
      </c>
      <c r="K7" s="29">
        <v>46.12</v>
      </c>
      <c r="L7" s="29">
        <v>68.31</v>
      </c>
      <c r="M7" s="28">
        <v>41.37</v>
      </c>
      <c r="N7" s="46"/>
      <c r="O7" s="52"/>
      <c r="P7" s="57" t="s">
        <v>177</v>
      </c>
      <c r="Q7" s="57" t="s">
        <v>178</v>
      </c>
      <c r="R7" s="52"/>
      <c r="S7" s="52"/>
      <c r="T7" s="52"/>
      <c r="U7" s="52"/>
      <c r="V7" s="52"/>
    </row>
    <row r="8" spans="1:22" s="44" customFormat="1" x14ac:dyDescent="0.5">
      <c r="A8" s="43"/>
      <c r="B8" s="37" t="s">
        <v>179</v>
      </c>
      <c r="C8" s="42">
        <v>45.24</v>
      </c>
      <c r="D8" s="32">
        <v>46.55</v>
      </c>
      <c r="E8" s="32">
        <v>24.35</v>
      </c>
      <c r="F8" s="31">
        <v>49.03</v>
      </c>
      <c r="G8" s="32">
        <v>50.93</v>
      </c>
      <c r="H8" s="32">
        <v>45.58</v>
      </c>
      <c r="I8" s="32">
        <v>24.96</v>
      </c>
      <c r="J8" s="31">
        <v>53.8</v>
      </c>
      <c r="K8" s="32">
        <v>46.67</v>
      </c>
      <c r="L8" s="32">
        <v>70.180000000000007</v>
      </c>
      <c r="M8" s="31">
        <v>42.52</v>
      </c>
      <c r="N8" s="46"/>
      <c r="O8" s="52"/>
      <c r="P8" s="55">
        <v>2001</v>
      </c>
      <c r="Q8" s="54">
        <f>N25</f>
        <v>0.10276679841897228</v>
      </c>
      <c r="R8" s="52"/>
      <c r="S8" s="52"/>
      <c r="T8" s="52"/>
      <c r="U8" s="52"/>
      <c r="V8" s="52"/>
    </row>
    <row r="9" spans="1:22" s="44" customFormat="1" x14ac:dyDescent="0.5">
      <c r="A9" s="41"/>
      <c r="B9" s="40" t="s">
        <v>180</v>
      </c>
      <c r="C9" s="39">
        <v>45.71</v>
      </c>
      <c r="D9" s="29">
        <v>46.34</v>
      </c>
      <c r="E9" s="29">
        <v>26.04</v>
      </c>
      <c r="F9" s="28">
        <v>49.52</v>
      </c>
      <c r="G9" s="29">
        <v>51.67</v>
      </c>
      <c r="H9" s="29">
        <v>45.42</v>
      </c>
      <c r="I9" s="29">
        <v>25.03</v>
      </c>
      <c r="J9" s="28">
        <v>54.87</v>
      </c>
      <c r="K9" s="29">
        <v>47</v>
      </c>
      <c r="L9" s="29">
        <v>72.81</v>
      </c>
      <c r="M9" s="28">
        <v>43.66</v>
      </c>
      <c r="N9" s="46"/>
      <c r="O9" s="52"/>
      <c r="P9" s="55">
        <v>2002</v>
      </c>
      <c r="Q9" s="54">
        <f>N37</f>
        <v>3.9426523297491106E-2</v>
      </c>
      <c r="R9" s="52"/>
      <c r="S9" s="52"/>
      <c r="T9" s="52"/>
      <c r="U9" s="52"/>
      <c r="V9" s="52"/>
    </row>
    <row r="10" spans="1:22" s="44" customFormat="1" x14ac:dyDescent="0.5">
      <c r="A10" s="43"/>
      <c r="B10" s="37" t="s">
        <v>181</v>
      </c>
      <c r="C10" s="42">
        <v>46.27</v>
      </c>
      <c r="D10" s="32">
        <v>46.59</v>
      </c>
      <c r="E10" s="32">
        <v>25.81</v>
      </c>
      <c r="F10" s="31">
        <v>50.34</v>
      </c>
      <c r="G10" s="32">
        <v>52.16</v>
      </c>
      <c r="H10" s="32">
        <v>45.61</v>
      </c>
      <c r="I10" s="32">
        <v>25.39</v>
      </c>
      <c r="J10" s="31">
        <v>55.43</v>
      </c>
      <c r="K10" s="32">
        <v>47.44</v>
      </c>
      <c r="L10" s="32">
        <v>73.45</v>
      </c>
      <c r="M10" s="31">
        <v>44.82</v>
      </c>
      <c r="N10" s="46"/>
      <c r="O10" s="52"/>
      <c r="P10" s="55">
        <v>2003</v>
      </c>
      <c r="Q10" s="54">
        <f>N49</f>
        <v>0.11306715063520865</v>
      </c>
      <c r="R10" s="52"/>
      <c r="S10" s="52"/>
      <c r="T10" s="52"/>
      <c r="U10" s="52"/>
      <c r="V10" s="52"/>
    </row>
    <row r="11" spans="1:22" s="44" customFormat="1" x14ac:dyDescent="0.5">
      <c r="A11" s="41"/>
      <c r="B11" s="40" t="s">
        <v>182</v>
      </c>
      <c r="C11" s="39">
        <v>46.89</v>
      </c>
      <c r="D11" s="29">
        <v>47.34</v>
      </c>
      <c r="E11" s="29">
        <v>26.37</v>
      </c>
      <c r="F11" s="28">
        <v>50.93</v>
      </c>
      <c r="G11" s="29">
        <v>52.64</v>
      </c>
      <c r="H11" s="29">
        <v>46.47</v>
      </c>
      <c r="I11" s="29">
        <v>25.39</v>
      </c>
      <c r="J11" s="28">
        <v>55.83</v>
      </c>
      <c r="K11" s="29">
        <v>48.11</v>
      </c>
      <c r="L11" s="29">
        <v>73.08</v>
      </c>
      <c r="M11" s="28">
        <v>45.29</v>
      </c>
      <c r="N11" s="46"/>
      <c r="O11" s="52"/>
      <c r="P11" s="55">
        <v>2004</v>
      </c>
      <c r="Q11" s="54">
        <f>N61</f>
        <v>5.0220120658731424E-2</v>
      </c>
      <c r="R11" s="52"/>
      <c r="S11" s="52"/>
      <c r="T11" s="52"/>
      <c r="U11" s="52"/>
      <c r="V11" s="52"/>
    </row>
    <row r="12" spans="1:22" s="44" customFormat="1" x14ac:dyDescent="0.5">
      <c r="A12" s="43"/>
      <c r="B12" s="37" t="s">
        <v>183</v>
      </c>
      <c r="C12" s="42">
        <v>47.41</v>
      </c>
      <c r="D12" s="32">
        <v>48.67</v>
      </c>
      <c r="E12" s="32">
        <v>26.48</v>
      </c>
      <c r="F12" s="31">
        <v>51.24</v>
      </c>
      <c r="G12" s="32">
        <v>52.97</v>
      </c>
      <c r="H12" s="32">
        <v>47.68</v>
      </c>
      <c r="I12" s="32">
        <v>25.52</v>
      </c>
      <c r="J12" s="31">
        <v>55.89</v>
      </c>
      <c r="K12" s="32">
        <v>48.66</v>
      </c>
      <c r="L12" s="32">
        <v>72.400000000000006</v>
      </c>
      <c r="M12" s="31">
        <v>45.7</v>
      </c>
      <c r="N12" s="46"/>
      <c r="O12" s="52"/>
      <c r="P12" s="55">
        <v>2005</v>
      </c>
      <c r="Q12" s="54">
        <f>N73</f>
        <v>5.340785592299329E-2</v>
      </c>
      <c r="R12" s="52"/>
      <c r="S12" s="52"/>
      <c r="T12" s="52"/>
      <c r="U12" s="52"/>
      <c r="V12" s="52"/>
    </row>
    <row r="13" spans="1:22" s="44" customFormat="1" x14ac:dyDescent="0.5">
      <c r="A13" s="41">
        <v>2000</v>
      </c>
      <c r="B13" s="40" t="s">
        <v>184</v>
      </c>
      <c r="C13" s="39">
        <v>48.07</v>
      </c>
      <c r="D13" s="29">
        <v>49.23</v>
      </c>
      <c r="E13" s="29">
        <v>27.28</v>
      </c>
      <c r="F13" s="28">
        <v>51.91</v>
      </c>
      <c r="G13" s="29">
        <v>53.71</v>
      </c>
      <c r="H13" s="29">
        <v>48.36</v>
      </c>
      <c r="I13" s="29">
        <v>26.18</v>
      </c>
      <c r="J13" s="28">
        <v>56.65</v>
      </c>
      <c r="K13" s="29">
        <v>49.36</v>
      </c>
      <c r="L13" s="29">
        <v>73.33</v>
      </c>
      <c r="M13" s="28">
        <v>46.23</v>
      </c>
      <c r="N13" s="16"/>
      <c r="O13" s="14"/>
      <c r="P13" s="55">
        <v>2006</v>
      </c>
      <c r="Q13" s="54">
        <f>N85</f>
        <v>4.0088430361090631E-2</v>
      </c>
      <c r="R13" s="52"/>
      <c r="S13" s="52"/>
      <c r="T13" s="52"/>
      <c r="U13" s="52"/>
      <c r="V13" s="52"/>
    </row>
    <row r="14" spans="1:22" s="44" customFormat="1" x14ac:dyDescent="0.5">
      <c r="A14" s="43"/>
      <c r="B14" s="37" t="s">
        <v>185</v>
      </c>
      <c r="C14" s="42">
        <v>49.19</v>
      </c>
      <c r="D14" s="32">
        <v>51.5</v>
      </c>
      <c r="E14" s="32">
        <v>28.96</v>
      </c>
      <c r="F14" s="31">
        <v>52.55</v>
      </c>
      <c r="G14" s="32">
        <v>54.71</v>
      </c>
      <c r="H14" s="32">
        <v>50.35</v>
      </c>
      <c r="I14" s="32">
        <v>26.63</v>
      </c>
      <c r="J14" s="31">
        <v>57.38</v>
      </c>
      <c r="K14" s="32">
        <v>50.38</v>
      </c>
      <c r="L14" s="32">
        <v>74.27</v>
      </c>
      <c r="M14" s="31">
        <v>47.98</v>
      </c>
      <c r="N14" s="46"/>
      <c r="O14" s="52"/>
      <c r="P14" s="55">
        <v>2007</v>
      </c>
      <c r="Q14" s="54">
        <f>N97</f>
        <v>5.8806858438430011E-2</v>
      </c>
      <c r="R14" s="52"/>
      <c r="S14" s="52"/>
      <c r="T14" s="52"/>
      <c r="U14" s="52"/>
      <c r="V14" s="52"/>
    </row>
    <row r="15" spans="1:22" s="44" customFormat="1" x14ac:dyDescent="0.5">
      <c r="A15" s="41"/>
      <c r="B15" s="40" t="s">
        <v>186</v>
      </c>
      <c r="C15" s="39">
        <v>49.87</v>
      </c>
      <c r="D15" s="29">
        <v>53.53</v>
      </c>
      <c r="E15" s="29">
        <v>28.5</v>
      </c>
      <c r="F15" s="28">
        <v>52.96</v>
      </c>
      <c r="G15" s="29">
        <v>55.45</v>
      </c>
      <c r="H15" s="29">
        <v>52.12</v>
      </c>
      <c r="I15" s="29">
        <v>26.64</v>
      </c>
      <c r="J15" s="28">
        <v>57.83</v>
      </c>
      <c r="K15" s="29">
        <v>51.16</v>
      </c>
      <c r="L15" s="29">
        <v>74.819999999999993</v>
      </c>
      <c r="M15" s="28">
        <v>48.21</v>
      </c>
      <c r="N15" s="46"/>
      <c r="O15" s="52"/>
      <c r="P15" s="55">
        <v>2008</v>
      </c>
      <c r="Q15" s="54">
        <f>N109</f>
        <v>5.7414346895075033E-2</v>
      </c>
      <c r="R15" s="52"/>
      <c r="S15" s="52"/>
      <c r="T15" s="52"/>
      <c r="U15" s="52"/>
      <c r="V15" s="52"/>
    </row>
    <row r="16" spans="1:22" s="44" customFormat="1" x14ac:dyDescent="0.5">
      <c r="A16" s="43"/>
      <c r="B16" s="37" t="s">
        <v>187</v>
      </c>
      <c r="C16" s="42">
        <v>50.36</v>
      </c>
      <c r="D16" s="32">
        <v>54.02</v>
      </c>
      <c r="E16" s="32">
        <v>27.51</v>
      </c>
      <c r="F16" s="31">
        <v>53.73</v>
      </c>
      <c r="G16" s="32">
        <v>56.35</v>
      </c>
      <c r="H16" s="32">
        <v>53</v>
      </c>
      <c r="I16" s="32">
        <v>26.69</v>
      </c>
      <c r="J16" s="31">
        <v>58.78</v>
      </c>
      <c r="K16" s="32">
        <v>51.99</v>
      </c>
      <c r="L16" s="32">
        <v>76.03</v>
      </c>
      <c r="M16" s="31">
        <v>47.18</v>
      </c>
      <c r="N16" s="46"/>
      <c r="O16" s="52"/>
      <c r="P16" s="55">
        <v>2009</v>
      </c>
      <c r="Q16" s="54">
        <f>N121</f>
        <v>4.0627768636881327E-2</v>
      </c>
      <c r="R16" s="52"/>
      <c r="S16" s="52"/>
      <c r="T16" s="52"/>
      <c r="U16" s="52"/>
      <c r="V16" s="52"/>
    </row>
    <row r="17" spans="1:22" s="44" customFormat="1" x14ac:dyDescent="0.5">
      <c r="A17" s="41"/>
      <c r="B17" s="40" t="s">
        <v>188</v>
      </c>
      <c r="C17" s="39">
        <v>50.83</v>
      </c>
      <c r="D17" s="29">
        <v>52.58</v>
      </c>
      <c r="E17" s="29">
        <v>29.94</v>
      </c>
      <c r="F17" s="28">
        <v>54.52</v>
      </c>
      <c r="G17" s="29">
        <v>56.64</v>
      </c>
      <c r="H17" s="29">
        <v>51.55</v>
      </c>
      <c r="I17" s="29">
        <v>28.38</v>
      </c>
      <c r="J17" s="28">
        <v>59.53</v>
      </c>
      <c r="K17" s="29">
        <v>52.03</v>
      </c>
      <c r="L17" s="29">
        <v>77.47</v>
      </c>
      <c r="M17" s="28">
        <v>49.7</v>
      </c>
      <c r="N17" s="46"/>
      <c r="O17" s="52"/>
      <c r="P17" s="55">
        <v>2010</v>
      </c>
      <c r="Q17" s="54">
        <f>N133</f>
        <v>7.1880321089759142E-2</v>
      </c>
      <c r="R17" s="52"/>
      <c r="S17" s="52"/>
      <c r="T17" s="52"/>
      <c r="U17" s="52"/>
      <c r="V17" s="52"/>
    </row>
    <row r="18" spans="1:22" s="44" customFormat="1" x14ac:dyDescent="0.5">
      <c r="A18" s="43"/>
      <c r="B18" s="37" t="s">
        <v>174</v>
      </c>
      <c r="C18" s="42">
        <v>51.1</v>
      </c>
      <c r="D18" s="32">
        <v>51.5</v>
      </c>
      <c r="E18" s="32">
        <v>31.51</v>
      </c>
      <c r="F18" s="31">
        <v>55.03</v>
      </c>
      <c r="G18" s="32">
        <v>57</v>
      </c>
      <c r="H18" s="32">
        <v>50.37</v>
      </c>
      <c r="I18" s="32">
        <v>29.71</v>
      </c>
      <c r="J18" s="31">
        <v>60.31</v>
      </c>
      <c r="K18" s="32">
        <v>52.1</v>
      </c>
      <c r="L18" s="32">
        <v>79.180000000000007</v>
      </c>
      <c r="M18" s="31">
        <v>50.92</v>
      </c>
      <c r="N18" s="46"/>
      <c r="O18" s="52"/>
      <c r="P18" s="55">
        <v>2011</v>
      </c>
      <c r="Q18" s="54">
        <f>N145</f>
        <v>4.9131964143878347E-2</v>
      </c>
      <c r="R18" s="52"/>
      <c r="S18" s="52"/>
      <c r="T18" s="52"/>
      <c r="U18" s="52"/>
      <c r="V18" s="52"/>
    </row>
    <row r="19" spans="1:22" s="44" customFormat="1" x14ac:dyDescent="0.5">
      <c r="A19" s="41"/>
      <c r="B19" s="40" t="s">
        <v>176</v>
      </c>
      <c r="C19" s="39">
        <v>51.5</v>
      </c>
      <c r="D19" s="29">
        <v>51.77</v>
      </c>
      <c r="E19" s="29">
        <v>31.65</v>
      </c>
      <c r="F19" s="28">
        <v>55.52</v>
      </c>
      <c r="G19" s="29">
        <v>57.6</v>
      </c>
      <c r="H19" s="29">
        <v>50.61</v>
      </c>
      <c r="I19" s="29">
        <v>31.64</v>
      </c>
      <c r="J19" s="28">
        <v>60.93</v>
      </c>
      <c r="K19" s="29">
        <v>52.52</v>
      </c>
      <c r="L19" s="29">
        <v>80.59</v>
      </c>
      <c r="M19" s="28">
        <v>51.26</v>
      </c>
      <c r="N19" s="46"/>
      <c r="O19" s="52"/>
      <c r="P19" s="55">
        <v>2012</v>
      </c>
      <c r="Q19" s="54">
        <f>N157</f>
        <v>5.6348691325978889E-2</v>
      </c>
      <c r="R19" s="52"/>
      <c r="S19" s="52"/>
      <c r="T19" s="52"/>
      <c r="U19" s="52"/>
      <c r="V19" s="52"/>
    </row>
    <row r="20" spans="1:22" s="44" customFormat="1" x14ac:dyDescent="0.5">
      <c r="A20" s="43"/>
      <c r="B20" s="37" t="s">
        <v>179</v>
      </c>
      <c r="C20" s="42">
        <v>51.68</v>
      </c>
      <c r="D20" s="32">
        <v>51.72</v>
      </c>
      <c r="E20" s="32">
        <v>32.25</v>
      </c>
      <c r="F20" s="31">
        <v>55.71</v>
      </c>
      <c r="G20" s="32">
        <v>57.89</v>
      </c>
      <c r="H20" s="32">
        <v>50.58</v>
      </c>
      <c r="I20" s="32">
        <v>31.41</v>
      </c>
      <c r="J20" s="31">
        <v>61.36</v>
      </c>
      <c r="K20" s="32">
        <v>52.71</v>
      </c>
      <c r="L20" s="32">
        <v>81.36</v>
      </c>
      <c r="M20" s="31">
        <v>51.41</v>
      </c>
      <c r="N20" s="46"/>
      <c r="O20" s="52"/>
      <c r="P20" s="55">
        <v>2013</v>
      </c>
      <c r="Q20" s="54">
        <f>N169</f>
        <v>-3.511825534964684E-2</v>
      </c>
      <c r="R20" s="52"/>
      <c r="S20" s="52"/>
      <c r="T20" s="52"/>
      <c r="U20" s="52"/>
      <c r="V20" s="52"/>
    </row>
    <row r="21" spans="1:22" s="44" customFormat="1" x14ac:dyDescent="0.5">
      <c r="A21" s="41"/>
      <c r="B21" s="40" t="s">
        <v>180</v>
      </c>
      <c r="C21" s="39">
        <v>52.27</v>
      </c>
      <c r="D21" s="29">
        <v>52.25</v>
      </c>
      <c r="E21" s="29">
        <v>33.96</v>
      </c>
      <c r="F21" s="28">
        <v>56.12</v>
      </c>
      <c r="G21" s="29">
        <v>58.36</v>
      </c>
      <c r="H21" s="29">
        <v>51.13</v>
      </c>
      <c r="I21" s="29">
        <v>33.090000000000003</v>
      </c>
      <c r="J21" s="28">
        <v>61.72</v>
      </c>
      <c r="K21" s="29">
        <v>53.15</v>
      </c>
      <c r="L21" s="29">
        <v>81.88</v>
      </c>
      <c r="M21" s="28">
        <v>52.7</v>
      </c>
      <c r="N21" s="46"/>
      <c r="O21" s="52"/>
      <c r="P21" s="55">
        <v>2014</v>
      </c>
      <c r="Q21" s="54">
        <f>N181</f>
        <v>9.9745331069610779E-3</v>
      </c>
      <c r="R21" s="52"/>
      <c r="S21" s="52"/>
      <c r="T21" s="52"/>
      <c r="U21" s="52"/>
      <c r="V21" s="52"/>
    </row>
    <row r="22" spans="1:22" s="44" customFormat="1" x14ac:dyDescent="0.5">
      <c r="A22" s="43"/>
      <c r="B22" s="37" t="s">
        <v>181</v>
      </c>
      <c r="C22" s="42">
        <v>52.05</v>
      </c>
      <c r="D22" s="32">
        <v>51.73</v>
      </c>
      <c r="E22" s="32">
        <v>32.75</v>
      </c>
      <c r="F22" s="31">
        <v>56.19</v>
      </c>
      <c r="G22" s="32">
        <v>58.37</v>
      </c>
      <c r="H22" s="32">
        <v>50.75</v>
      </c>
      <c r="I22" s="32">
        <v>32.6</v>
      </c>
      <c r="J22" s="31">
        <v>61.89</v>
      </c>
      <c r="K22" s="32">
        <v>53.36</v>
      </c>
      <c r="L22" s="32">
        <v>81.069999999999993</v>
      </c>
      <c r="M22" s="31">
        <v>50.54</v>
      </c>
      <c r="N22" s="46"/>
      <c r="O22" s="52"/>
      <c r="P22" s="55">
        <v>2015</v>
      </c>
      <c r="Q22" s="54">
        <f>N193</f>
        <v>3.7192687539398944E-2</v>
      </c>
      <c r="R22" s="52"/>
      <c r="S22" s="52"/>
      <c r="T22" s="52"/>
      <c r="U22" s="52"/>
      <c r="V22" s="52"/>
    </row>
    <row r="23" spans="1:22" s="44" customFormat="1" x14ac:dyDescent="0.5">
      <c r="A23" s="41"/>
      <c r="B23" s="40" t="s">
        <v>182</v>
      </c>
      <c r="C23" s="39">
        <v>52.01</v>
      </c>
      <c r="D23" s="29">
        <v>51.54</v>
      </c>
      <c r="E23" s="29">
        <v>32.61</v>
      </c>
      <c r="F23" s="28">
        <v>56.23</v>
      </c>
      <c r="G23" s="29">
        <v>58.44</v>
      </c>
      <c r="H23" s="29">
        <v>50.55</v>
      </c>
      <c r="I23" s="29">
        <v>32.65</v>
      </c>
      <c r="J23" s="28">
        <v>62.04</v>
      </c>
      <c r="K23" s="29">
        <v>53.53</v>
      </c>
      <c r="L23" s="29">
        <v>80.650000000000006</v>
      </c>
      <c r="M23" s="28">
        <v>49.52</v>
      </c>
      <c r="N23" s="46"/>
      <c r="O23" s="52"/>
      <c r="P23" s="55">
        <v>2016</v>
      </c>
      <c r="Q23" s="54">
        <f>N205</f>
        <v>6.685575364667741E-2</v>
      </c>
      <c r="R23" s="52"/>
      <c r="S23" s="52"/>
      <c r="T23" s="52"/>
      <c r="U23" s="52"/>
      <c r="V23" s="52"/>
    </row>
    <row r="24" spans="1:22" s="44" customFormat="1" x14ac:dyDescent="0.5">
      <c r="A24" s="43"/>
      <c r="B24" s="37" t="s">
        <v>183</v>
      </c>
      <c r="C24" s="42">
        <v>52.09</v>
      </c>
      <c r="D24" s="32">
        <v>51.52</v>
      </c>
      <c r="E24" s="32">
        <v>31.06</v>
      </c>
      <c r="F24" s="31">
        <v>56.64</v>
      </c>
      <c r="G24" s="32">
        <v>58.82</v>
      </c>
      <c r="H24" s="32">
        <v>50.55</v>
      </c>
      <c r="I24" s="32">
        <v>32.49</v>
      </c>
      <c r="J24" s="31">
        <v>62.56</v>
      </c>
      <c r="K24" s="32">
        <v>53.81</v>
      </c>
      <c r="L24" s="32">
        <v>81.430000000000007</v>
      </c>
      <c r="M24" s="31">
        <v>48.62</v>
      </c>
      <c r="N24" s="46"/>
      <c r="O24" s="52"/>
      <c r="P24" s="55">
        <v>2017</v>
      </c>
      <c r="Q24" s="54">
        <f>N217</f>
        <v>2.6585643752373829E-2</v>
      </c>
      <c r="R24" s="52"/>
      <c r="S24" s="52"/>
      <c r="T24" s="52"/>
      <c r="U24" s="52"/>
      <c r="V24" s="52"/>
    </row>
    <row r="25" spans="1:22" s="44" customFormat="1" x14ac:dyDescent="0.5">
      <c r="A25" s="41">
        <v>2001</v>
      </c>
      <c r="B25" s="40" t="s">
        <v>184</v>
      </c>
      <c r="C25" s="39">
        <v>53.01</v>
      </c>
      <c r="D25" s="29">
        <v>53.18</v>
      </c>
      <c r="E25" s="29">
        <v>32.43</v>
      </c>
      <c r="F25" s="28">
        <v>57.23</v>
      </c>
      <c r="G25" s="29">
        <v>59.87</v>
      </c>
      <c r="H25" s="29">
        <v>52.01</v>
      </c>
      <c r="I25" s="29">
        <v>34.71</v>
      </c>
      <c r="J25" s="28">
        <v>63.41</v>
      </c>
      <c r="K25" s="29">
        <v>54.82</v>
      </c>
      <c r="L25" s="29">
        <v>82.68</v>
      </c>
      <c r="M25" s="28">
        <v>49.23</v>
      </c>
      <c r="N25" s="16">
        <f>(C25-C13)/C13</f>
        <v>0.10276679841897228</v>
      </c>
      <c r="O25" s="56"/>
      <c r="P25" s="55">
        <v>2018</v>
      </c>
      <c r="Q25" s="54">
        <f>N229</f>
        <v>3.1261561228264845E-2</v>
      </c>
      <c r="R25" s="52"/>
      <c r="S25" s="52"/>
      <c r="T25" s="52"/>
      <c r="U25" s="52"/>
      <c r="V25" s="52"/>
    </row>
    <row r="26" spans="1:22" s="44" customFormat="1" x14ac:dyDescent="0.5">
      <c r="A26" s="43"/>
      <c r="B26" s="37" t="s">
        <v>185</v>
      </c>
      <c r="C26" s="42">
        <v>53.99</v>
      </c>
      <c r="D26" s="32">
        <v>54.83</v>
      </c>
      <c r="E26" s="32">
        <v>32.97</v>
      </c>
      <c r="F26" s="31">
        <v>58.05</v>
      </c>
      <c r="G26" s="32">
        <v>60.93</v>
      </c>
      <c r="H26" s="32">
        <v>53.7</v>
      </c>
      <c r="I26" s="32">
        <v>35.5</v>
      </c>
      <c r="J26" s="31">
        <v>64.290000000000006</v>
      </c>
      <c r="K26" s="32">
        <v>55.96</v>
      </c>
      <c r="L26" s="32">
        <v>83.4</v>
      </c>
      <c r="M26" s="31">
        <v>49.53</v>
      </c>
      <c r="N26" s="46"/>
      <c r="P26" s="55">
        <v>2019</v>
      </c>
      <c r="Q26" s="54">
        <f>N241</f>
        <v>2.7174887892376692E-2</v>
      </c>
      <c r="R26" s="52"/>
      <c r="S26" s="52"/>
      <c r="T26" s="52"/>
      <c r="U26" s="52"/>
      <c r="V26" s="52"/>
    </row>
    <row r="27" spans="1:22" s="44" customFormat="1" x14ac:dyDescent="0.5">
      <c r="A27" s="41"/>
      <c r="B27" s="40" t="s">
        <v>186</v>
      </c>
      <c r="C27" s="39">
        <v>54.43</v>
      </c>
      <c r="D27" s="29">
        <v>55.62</v>
      </c>
      <c r="E27" s="29">
        <v>31.74</v>
      </c>
      <c r="F27" s="28">
        <v>58.68</v>
      </c>
      <c r="G27" s="29">
        <v>61.51</v>
      </c>
      <c r="H27" s="29">
        <v>54.33</v>
      </c>
      <c r="I27" s="29">
        <v>33.840000000000003</v>
      </c>
      <c r="J27" s="28">
        <v>64.989999999999995</v>
      </c>
      <c r="K27" s="29">
        <v>56.49</v>
      </c>
      <c r="L27" s="29">
        <v>84.2</v>
      </c>
      <c r="M27" s="28">
        <v>49.56</v>
      </c>
      <c r="N27" s="46"/>
      <c r="P27" s="55">
        <v>2020</v>
      </c>
      <c r="Q27" s="54">
        <f>N253</f>
        <v>4.6974591810006072E-2</v>
      </c>
      <c r="R27" s="52"/>
      <c r="S27" s="52"/>
      <c r="T27" s="52"/>
      <c r="U27" s="52"/>
      <c r="V27" s="52"/>
    </row>
    <row r="28" spans="1:22" s="44" customFormat="1" x14ac:dyDescent="0.5">
      <c r="A28" s="43"/>
      <c r="B28" s="37" t="s">
        <v>187</v>
      </c>
      <c r="C28" s="42">
        <v>55.37</v>
      </c>
      <c r="D28" s="32">
        <v>57.08</v>
      </c>
      <c r="E28" s="32">
        <v>33.31</v>
      </c>
      <c r="F28" s="31">
        <v>59.33</v>
      </c>
      <c r="G28" s="32">
        <v>62.4</v>
      </c>
      <c r="H28" s="32">
        <v>55.76</v>
      </c>
      <c r="I28" s="32">
        <v>35.4</v>
      </c>
      <c r="J28" s="31">
        <v>65.66</v>
      </c>
      <c r="K28" s="32">
        <v>57.35</v>
      </c>
      <c r="L28" s="32">
        <v>85.22</v>
      </c>
      <c r="M28" s="31">
        <v>51.01</v>
      </c>
      <c r="N28" s="46"/>
      <c r="P28" s="55">
        <v>2021</v>
      </c>
      <c r="Q28" s="54">
        <f>N265</f>
        <v>2.6019514635977022E-2</v>
      </c>
      <c r="R28" s="52"/>
      <c r="S28" s="52"/>
      <c r="T28" s="52"/>
      <c r="U28" s="52"/>
      <c r="V28" s="52"/>
    </row>
    <row r="29" spans="1:22" s="44" customFormat="1" x14ac:dyDescent="0.5">
      <c r="A29" s="41"/>
      <c r="B29" s="40" t="s">
        <v>188</v>
      </c>
      <c r="C29" s="39">
        <v>55.97</v>
      </c>
      <c r="D29" s="29">
        <v>57.57</v>
      </c>
      <c r="E29" s="29">
        <v>34.979999999999997</v>
      </c>
      <c r="F29" s="28">
        <v>59.78</v>
      </c>
      <c r="G29" s="29">
        <v>62.91</v>
      </c>
      <c r="H29" s="29">
        <v>56.33</v>
      </c>
      <c r="I29" s="29">
        <v>37.11</v>
      </c>
      <c r="J29" s="28">
        <v>66.08</v>
      </c>
      <c r="K29" s="29">
        <v>57.85</v>
      </c>
      <c r="L29" s="29">
        <v>85.75</v>
      </c>
      <c r="M29" s="28">
        <v>52.09</v>
      </c>
      <c r="N29" s="46"/>
      <c r="P29" s="55">
        <v>2022</v>
      </c>
      <c r="Q29" s="54">
        <f>N277</f>
        <v>0.29439973990083718</v>
      </c>
      <c r="R29" s="52"/>
      <c r="S29" s="52"/>
      <c r="T29" s="52"/>
      <c r="U29" s="52"/>
      <c r="V29" s="52"/>
    </row>
    <row r="30" spans="1:22" s="44" customFormat="1" x14ac:dyDescent="0.5">
      <c r="A30" s="43"/>
      <c r="B30" s="37" t="s">
        <v>174</v>
      </c>
      <c r="C30" s="42">
        <v>55.57</v>
      </c>
      <c r="D30" s="32">
        <v>56.49</v>
      </c>
      <c r="E30" s="32">
        <v>33.119999999999997</v>
      </c>
      <c r="F30" s="31">
        <v>59.89</v>
      </c>
      <c r="G30" s="32">
        <v>62.76</v>
      </c>
      <c r="H30" s="32">
        <v>55.31</v>
      </c>
      <c r="I30" s="32">
        <v>34.86</v>
      </c>
      <c r="J30" s="31">
        <v>66.319999999999993</v>
      </c>
      <c r="K30" s="32">
        <v>57.79</v>
      </c>
      <c r="L30" s="32">
        <v>85.18</v>
      </c>
      <c r="M30" s="31">
        <v>50.09</v>
      </c>
      <c r="N30" s="46"/>
      <c r="P30" s="55">
        <v>2023</v>
      </c>
      <c r="Q30" s="54">
        <f>N289</f>
        <v>0.16200941915227637</v>
      </c>
      <c r="R30" s="52"/>
      <c r="S30" s="52"/>
      <c r="T30" s="52"/>
      <c r="U30" s="52"/>
      <c r="V30" s="52"/>
    </row>
    <row r="31" spans="1:22" s="44" customFormat="1" ht="16" customHeight="1" x14ac:dyDescent="0.5">
      <c r="A31" s="41"/>
      <c r="B31" s="40" t="s">
        <v>176</v>
      </c>
      <c r="C31" s="39">
        <v>55.37</v>
      </c>
      <c r="D31" s="29">
        <v>56.17</v>
      </c>
      <c r="E31" s="29">
        <v>32.06</v>
      </c>
      <c r="F31" s="28">
        <v>59.88</v>
      </c>
      <c r="G31" s="29">
        <v>62.8</v>
      </c>
      <c r="H31" s="29">
        <v>55.01</v>
      </c>
      <c r="I31" s="29">
        <v>34</v>
      </c>
      <c r="J31" s="28">
        <v>66.510000000000005</v>
      </c>
      <c r="K31" s="29">
        <v>57.81</v>
      </c>
      <c r="L31" s="29">
        <v>85.29</v>
      </c>
      <c r="M31" s="28">
        <v>48.81</v>
      </c>
      <c r="N31" s="46"/>
      <c r="P31" s="357" t="s">
        <v>189</v>
      </c>
      <c r="Q31" s="362">
        <f>AVERAGE(Q8:Q30)</f>
        <v>6.2022474223477939E-2</v>
      </c>
      <c r="R31" s="52"/>
      <c r="S31" s="52"/>
      <c r="T31" s="52"/>
      <c r="U31" s="52"/>
      <c r="V31" s="52"/>
    </row>
    <row r="32" spans="1:22" s="44" customFormat="1" x14ac:dyDescent="0.5">
      <c r="A32" s="43"/>
      <c r="B32" s="37" t="s">
        <v>179</v>
      </c>
      <c r="C32" s="42">
        <v>55.37</v>
      </c>
      <c r="D32" s="32">
        <v>56.11</v>
      </c>
      <c r="E32" s="32">
        <v>31.94</v>
      </c>
      <c r="F32" s="31">
        <v>59.93</v>
      </c>
      <c r="G32" s="32">
        <v>62.99</v>
      </c>
      <c r="H32" s="32">
        <v>55.06</v>
      </c>
      <c r="I32" s="32">
        <v>34.270000000000003</v>
      </c>
      <c r="J32" s="31">
        <v>66.739999999999995</v>
      </c>
      <c r="K32" s="32">
        <v>58.05</v>
      </c>
      <c r="L32" s="32">
        <v>85.26</v>
      </c>
      <c r="M32" s="31">
        <v>47.68</v>
      </c>
      <c r="N32" s="46"/>
      <c r="P32" s="357"/>
      <c r="Q32" s="362"/>
      <c r="R32" s="52"/>
      <c r="S32" s="52"/>
      <c r="T32" s="52"/>
      <c r="U32" s="52"/>
      <c r="V32" s="52"/>
    </row>
    <row r="33" spans="1:22" s="44" customFormat="1" x14ac:dyDescent="0.5">
      <c r="A33" s="41"/>
      <c r="B33" s="40" t="s">
        <v>180</v>
      </c>
      <c r="C33" s="39">
        <v>55.48</v>
      </c>
      <c r="D33" s="29">
        <v>55.77</v>
      </c>
      <c r="E33" s="29">
        <v>32.159999999999997</v>
      </c>
      <c r="F33" s="28">
        <v>60.17</v>
      </c>
      <c r="G33" s="29">
        <v>63.04</v>
      </c>
      <c r="H33" s="29">
        <v>54.62</v>
      </c>
      <c r="I33" s="29">
        <v>34.229999999999997</v>
      </c>
      <c r="J33" s="28">
        <v>66.97</v>
      </c>
      <c r="K33" s="29">
        <v>58.01</v>
      </c>
      <c r="L33" s="29">
        <v>85.79</v>
      </c>
      <c r="M33" s="28">
        <v>48.51</v>
      </c>
      <c r="N33" s="46"/>
      <c r="P33" s="45"/>
      <c r="Q33" s="45"/>
      <c r="R33" s="52"/>
      <c r="S33" s="52"/>
      <c r="T33" s="52"/>
      <c r="U33" s="52"/>
      <c r="V33" s="52"/>
    </row>
    <row r="34" spans="1:22" s="44" customFormat="1" x14ac:dyDescent="0.5">
      <c r="A34" s="43"/>
      <c r="B34" s="37" t="s">
        <v>181</v>
      </c>
      <c r="C34" s="42">
        <v>54.91</v>
      </c>
      <c r="D34" s="32">
        <v>55.01</v>
      </c>
      <c r="E34" s="32">
        <v>30.07</v>
      </c>
      <c r="F34" s="31">
        <v>59.94</v>
      </c>
      <c r="G34" s="32">
        <v>62.79</v>
      </c>
      <c r="H34" s="32">
        <v>53.87</v>
      </c>
      <c r="I34" s="32">
        <v>32.22</v>
      </c>
      <c r="J34" s="31">
        <v>66.95</v>
      </c>
      <c r="K34" s="32">
        <v>57.74</v>
      </c>
      <c r="L34" s="32">
        <v>85.59</v>
      </c>
      <c r="M34" s="31">
        <v>46.5</v>
      </c>
      <c r="N34" s="46"/>
      <c r="P34" s="45"/>
      <c r="Q34" s="45"/>
      <c r="R34" s="52"/>
      <c r="S34" s="52"/>
      <c r="T34" s="52"/>
      <c r="U34" s="52"/>
      <c r="V34" s="52"/>
    </row>
    <row r="35" spans="1:22" s="44" customFormat="1" x14ac:dyDescent="0.5">
      <c r="A35" s="41"/>
      <c r="B35" s="40" t="s">
        <v>182</v>
      </c>
      <c r="C35" s="39">
        <v>54.67</v>
      </c>
      <c r="D35" s="29">
        <v>55.1</v>
      </c>
      <c r="E35" s="29">
        <v>28.92</v>
      </c>
      <c r="F35" s="28">
        <v>59.75</v>
      </c>
      <c r="G35" s="29">
        <v>62.71</v>
      </c>
      <c r="H35" s="29">
        <v>54.06</v>
      </c>
      <c r="I35" s="29">
        <v>31.74</v>
      </c>
      <c r="J35" s="28">
        <v>66.819999999999993</v>
      </c>
      <c r="K35" s="29">
        <v>57.7</v>
      </c>
      <c r="L35" s="29">
        <v>85.31</v>
      </c>
      <c r="M35" s="28">
        <v>45.29</v>
      </c>
      <c r="N35" s="46"/>
      <c r="P35" s="45"/>
      <c r="Q35" s="45"/>
      <c r="R35" s="52"/>
      <c r="S35" s="52"/>
      <c r="T35" s="52"/>
      <c r="U35" s="52"/>
      <c r="V35" s="52"/>
    </row>
    <row r="36" spans="1:22" s="44" customFormat="1" x14ac:dyDescent="0.5">
      <c r="A36" s="43"/>
      <c r="B36" s="37" t="s">
        <v>183</v>
      </c>
      <c r="C36" s="42">
        <v>54.78</v>
      </c>
      <c r="D36" s="32">
        <v>55.36</v>
      </c>
      <c r="E36" s="32">
        <v>28.99</v>
      </c>
      <c r="F36" s="31">
        <v>59.81</v>
      </c>
      <c r="G36" s="32">
        <v>62.89</v>
      </c>
      <c r="H36" s="32">
        <v>54.37</v>
      </c>
      <c r="I36" s="32">
        <v>32.07</v>
      </c>
      <c r="J36" s="31">
        <v>66.95</v>
      </c>
      <c r="K36" s="32">
        <v>57.95</v>
      </c>
      <c r="L36" s="32">
        <v>85.21</v>
      </c>
      <c r="M36" s="31">
        <v>44.76</v>
      </c>
      <c r="N36" s="46"/>
      <c r="P36" s="45"/>
      <c r="Q36" s="45"/>
      <c r="R36" s="52"/>
      <c r="S36" s="52"/>
      <c r="T36" s="52"/>
      <c r="U36" s="52"/>
      <c r="V36" s="52"/>
    </row>
    <row r="37" spans="1:22" s="44" customFormat="1" x14ac:dyDescent="0.5">
      <c r="A37" s="41">
        <v>2002</v>
      </c>
      <c r="B37" s="40" t="s">
        <v>184</v>
      </c>
      <c r="C37" s="39">
        <v>55.1</v>
      </c>
      <c r="D37" s="29">
        <v>56.13</v>
      </c>
      <c r="E37" s="29">
        <v>29.31</v>
      </c>
      <c r="F37" s="28">
        <v>59.98</v>
      </c>
      <c r="G37" s="29">
        <v>63.16</v>
      </c>
      <c r="H37" s="29">
        <v>55.29</v>
      </c>
      <c r="I37" s="29">
        <v>31.72</v>
      </c>
      <c r="J37" s="28">
        <v>67.06</v>
      </c>
      <c r="K37" s="29">
        <v>58.39</v>
      </c>
      <c r="L37" s="29">
        <v>84.7</v>
      </c>
      <c r="M37" s="28">
        <v>44.59</v>
      </c>
      <c r="N37" s="16">
        <f>(C37-C25)/C25</f>
        <v>3.9426523297491106E-2</v>
      </c>
      <c r="O37" s="14"/>
      <c r="P37" s="45"/>
      <c r="Q37" s="45"/>
      <c r="R37" s="52"/>
      <c r="S37" s="52"/>
      <c r="T37" s="52"/>
      <c r="U37" s="52"/>
      <c r="V37" s="52"/>
    </row>
    <row r="38" spans="1:22" s="44" customFormat="1" x14ac:dyDescent="0.5">
      <c r="A38" s="43"/>
      <c r="B38" s="37" t="s">
        <v>185</v>
      </c>
      <c r="C38" s="42">
        <v>55.32</v>
      </c>
      <c r="D38" s="32">
        <v>56.06</v>
      </c>
      <c r="E38" s="32">
        <v>30.24</v>
      </c>
      <c r="F38" s="31">
        <v>60.17</v>
      </c>
      <c r="G38" s="32">
        <v>63.35</v>
      </c>
      <c r="H38" s="32">
        <v>55.14</v>
      </c>
      <c r="I38" s="32">
        <v>32.880000000000003</v>
      </c>
      <c r="J38" s="31">
        <v>67.290000000000006</v>
      </c>
      <c r="K38" s="32">
        <v>58.58</v>
      </c>
      <c r="L38" s="32">
        <v>84.85</v>
      </c>
      <c r="M38" s="31">
        <v>44.9</v>
      </c>
      <c r="N38" s="46"/>
      <c r="O38" s="52"/>
      <c r="P38" s="45"/>
      <c r="Q38" s="45"/>
      <c r="R38" s="52"/>
      <c r="S38" s="52"/>
      <c r="T38" s="52"/>
      <c r="U38" s="52"/>
      <c r="V38" s="52"/>
    </row>
    <row r="39" spans="1:22" s="44" customFormat="1" x14ac:dyDescent="0.5">
      <c r="A39" s="41"/>
      <c r="B39" s="40" t="s">
        <v>186</v>
      </c>
      <c r="C39" s="39">
        <v>55.86</v>
      </c>
      <c r="D39" s="29">
        <v>56.5</v>
      </c>
      <c r="E39" s="29">
        <v>31.79</v>
      </c>
      <c r="F39" s="28">
        <v>60.56</v>
      </c>
      <c r="G39" s="29">
        <v>63.7</v>
      </c>
      <c r="H39" s="29">
        <v>55.65</v>
      </c>
      <c r="I39" s="29">
        <v>34.43</v>
      </c>
      <c r="J39" s="28">
        <v>67.52</v>
      </c>
      <c r="K39" s="29">
        <v>58.99</v>
      </c>
      <c r="L39" s="29">
        <v>84.88</v>
      </c>
      <c r="M39" s="28">
        <v>46.04</v>
      </c>
      <c r="N39" s="46"/>
      <c r="O39" s="52"/>
      <c r="P39" s="45"/>
      <c r="Q39" s="45"/>
      <c r="R39" s="52"/>
      <c r="S39" s="52"/>
      <c r="T39" s="52"/>
      <c r="U39" s="52"/>
      <c r="V39" s="52"/>
    </row>
    <row r="40" spans="1:22" s="44" customFormat="1" x14ac:dyDescent="0.5">
      <c r="A40" s="43"/>
      <c r="B40" s="37" t="s">
        <v>187</v>
      </c>
      <c r="C40" s="42">
        <v>56.29</v>
      </c>
      <c r="D40" s="32">
        <v>56.58</v>
      </c>
      <c r="E40" s="32">
        <v>32.68</v>
      </c>
      <c r="F40" s="31">
        <v>61.04</v>
      </c>
      <c r="G40" s="32">
        <v>63.94</v>
      </c>
      <c r="H40" s="32">
        <v>55.74</v>
      </c>
      <c r="I40" s="32">
        <v>35.17</v>
      </c>
      <c r="J40" s="31">
        <v>67.78</v>
      </c>
      <c r="K40" s="32">
        <v>59.36</v>
      </c>
      <c r="L40" s="32">
        <v>84.55</v>
      </c>
      <c r="M40" s="31">
        <v>46.86</v>
      </c>
      <c r="N40" s="46"/>
      <c r="O40" s="52"/>
      <c r="P40" s="45"/>
      <c r="Q40" s="45"/>
      <c r="R40" s="52"/>
      <c r="S40" s="52"/>
      <c r="T40" s="52"/>
      <c r="U40" s="52"/>
      <c r="V40" s="52"/>
    </row>
    <row r="41" spans="1:22" s="44" customFormat="1" x14ac:dyDescent="0.5">
      <c r="A41" s="41"/>
      <c r="B41" s="40" t="s">
        <v>188</v>
      </c>
      <c r="C41" s="39">
        <v>56.78</v>
      </c>
      <c r="D41" s="29">
        <v>57.73</v>
      </c>
      <c r="E41" s="29">
        <v>33.450000000000003</v>
      </c>
      <c r="F41" s="28">
        <v>61.26</v>
      </c>
      <c r="G41" s="29">
        <v>64.38</v>
      </c>
      <c r="H41" s="29">
        <v>56.79</v>
      </c>
      <c r="I41" s="29">
        <v>35.89</v>
      </c>
      <c r="J41" s="28">
        <v>68</v>
      </c>
      <c r="K41" s="29">
        <v>59.75</v>
      </c>
      <c r="L41" s="29">
        <v>85.21</v>
      </c>
      <c r="M41" s="28">
        <v>47.87</v>
      </c>
      <c r="N41" s="46"/>
      <c r="O41" s="52"/>
      <c r="P41" s="45"/>
      <c r="Q41" s="45"/>
      <c r="R41" s="52"/>
      <c r="S41" s="52"/>
      <c r="T41" s="52"/>
      <c r="U41" s="52"/>
      <c r="V41" s="52"/>
    </row>
    <row r="42" spans="1:22" s="44" customFormat="1" x14ac:dyDescent="0.5">
      <c r="A42" s="43"/>
      <c r="B42" s="37" t="s">
        <v>174</v>
      </c>
      <c r="C42" s="42">
        <v>56.96</v>
      </c>
      <c r="D42" s="32">
        <v>57.48</v>
      </c>
      <c r="E42" s="32">
        <v>33.94</v>
      </c>
      <c r="F42" s="31">
        <v>61.53</v>
      </c>
      <c r="G42" s="32">
        <v>64.61</v>
      </c>
      <c r="H42" s="32">
        <v>56.48</v>
      </c>
      <c r="I42" s="32">
        <v>35.58</v>
      </c>
      <c r="J42" s="31">
        <v>68.430000000000007</v>
      </c>
      <c r="K42" s="32">
        <v>59.75</v>
      </c>
      <c r="L42" s="32">
        <v>86.5</v>
      </c>
      <c r="M42" s="31">
        <v>48.89</v>
      </c>
      <c r="N42" s="46"/>
      <c r="O42" s="52"/>
      <c r="P42" s="45"/>
      <c r="Q42" s="45"/>
      <c r="R42" s="52"/>
      <c r="S42" s="52"/>
      <c r="T42" s="52"/>
      <c r="U42" s="52"/>
      <c r="V42" s="52"/>
    </row>
    <row r="43" spans="1:22" s="44" customFormat="1" x14ac:dyDescent="0.5">
      <c r="A43" s="41"/>
      <c r="B43" s="40" t="s">
        <v>176</v>
      </c>
      <c r="C43" s="39">
        <v>57.32</v>
      </c>
      <c r="D43" s="29">
        <v>56.51</v>
      </c>
      <c r="E43" s="29">
        <v>36.69</v>
      </c>
      <c r="F43" s="28">
        <v>61.92</v>
      </c>
      <c r="G43" s="29">
        <v>65.209999999999994</v>
      </c>
      <c r="H43" s="29">
        <v>56.28</v>
      </c>
      <c r="I43" s="29">
        <v>37.75</v>
      </c>
      <c r="J43" s="28">
        <v>69.19</v>
      </c>
      <c r="K43" s="29">
        <v>59.86</v>
      </c>
      <c r="L43" s="29">
        <v>89.4</v>
      </c>
      <c r="M43" s="28">
        <v>50.46</v>
      </c>
      <c r="N43" s="46"/>
      <c r="O43" s="52"/>
      <c r="P43" s="45"/>
      <c r="Q43" s="45"/>
      <c r="R43" s="52"/>
      <c r="S43" s="52"/>
      <c r="T43" s="52"/>
      <c r="U43" s="52"/>
      <c r="V43" s="52"/>
    </row>
    <row r="44" spans="1:22" s="44" customFormat="1" x14ac:dyDescent="0.5">
      <c r="A44" s="43"/>
      <c r="B44" s="37" t="s">
        <v>179</v>
      </c>
      <c r="C44" s="42">
        <v>58.09</v>
      </c>
      <c r="D44" s="32">
        <v>56.96</v>
      </c>
      <c r="E44" s="32">
        <v>38.840000000000003</v>
      </c>
      <c r="F44" s="31">
        <v>62.57</v>
      </c>
      <c r="G44" s="32">
        <v>66</v>
      </c>
      <c r="H44" s="32">
        <v>56.6</v>
      </c>
      <c r="I44" s="32">
        <v>39.85</v>
      </c>
      <c r="J44" s="31">
        <v>70.05</v>
      </c>
      <c r="K44" s="32">
        <v>60.2</v>
      </c>
      <c r="L44" s="32">
        <v>92.24</v>
      </c>
      <c r="M44" s="31">
        <v>53.32</v>
      </c>
      <c r="N44" s="46"/>
      <c r="O44" s="52"/>
      <c r="P44" s="45"/>
      <c r="Q44" s="45"/>
      <c r="R44" s="52"/>
      <c r="S44" s="52"/>
      <c r="T44" s="52"/>
      <c r="U44" s="52"/>
      <c r="V44" s="52"/>
    </row>
    <row r="45" spans="1:22" s="44" customFormat="1" x14ac:dyDescent="0.5">
      <c r="A45" s="41"/>
      <c r="B45" s="40" t="s">
        <v>180</v>
      </c>
      <c r="C45" s="39">
        <v>59.37</v>
      </c>
      <c r="D45" s="29">
        <v>58.74</v>
      </c>
      <c r="E45" s="29">
        <v>41.05</v>
      </c>
      <c r="F45" s="28">
        <v>63.51</v>
      </c>
      <c r="G45" s="29">
        <v>67.3</v>
      </c>
      <c r="H45" s="29">
        <v>58.34</v>
      </c>
      <c r="I45" s="29">
        <v>41.9</v>
      </c>
      <c r="J45" s="28">
        <v>71.17</v>
      </c>
      <c r="K45" s="29">
        <v>61.19</v>
      </c>
      <c r="L45" s="29">
        <v>94.96</v>
      </c>
      <c r="M45" s="28">
        <v>56.04</v>
      </c>
      <c r="N45" s="46"/>
      <c r="O45" s="52"/>
      <c r="P45" s="45"/>
      <c r="Q45" s="45"/>
      <c r="R45" s="52"/>
      <c r="S45" s="52"/>
      <c r="T45" s="52"/>
      <c r="U45" s="52"/>
      <c r="V45" s="52"/>
    </row>
    <row r="46" spans="1:22" s="44" customFormat="1" x14ac:dyDescent="0.5">
      <c r="A46" s="43"/>
      <c r="B46" s="37" t="s">
        <v>181</v>
      </c>
      <c r="C46" s="42">
        <v>60.16</v>
      </c>
      <c r="D46" s="32">
        <v>60.27</v>
      </c>
      <c r="E46" s="32">
        <v>41.36</v>
      </c>
      <c r="F46" s="31">
        <v>64.14</v>
      </c>
      <c r="G46" s="32">
        <v>68.400000000000006</v>
      </c>
      <c r="H46" s="32">
        <v>59.83</v>
      </c>
      <c r="I46" s="32">
        <v>42.24</v>
      </c>
      <c r="J46" s="31">
        <v>72.17</v>
      </c>
      <c r="K46" s="32">
        <v>61.86</v>
      </c>
      <c r="L46" s="32">
        <v>98.02</v>
      </c>
      <c r="M46" s="31">
        <v>57.52</v>
      </c>
      <c r="N46" s="46"/>
      <c r="O46" s="52"/>
      <c r="P46" s="45"/>
      <c r="Q46" s="45"/>
      <c r="R46" s="52"/>
      <c r="S46" s="52"/>
      <c r="T46" s="52"/>
      <c r="U46" s="52"/>
      <c r="V46" s="52"/>
    </row>
    <row r="47" spans="1:22" s="44" customFormat="1" x14ac:dyDescent="0.5">
      <c r="A47" s="41"/>
      <c r="B47" s="40" t="s">
        <v>182</v>
      </c>
      <c r="C47" s="39">
        <v>59.78</v>
      </c>
      <c r="D47" s="29">
        <v>60.09</v>
      </c>
      <c r="E47" s="29">
        <v>38.14</v>
      </c>
      <c r="F47" s="28">
        <v>64.2</v>
      </c>
      <c r="G47" s="29">
        <v>68.36</v>
      </c>
      <c r="H47" s="29">
        <v>60.03</v>
      </c>
      <c r="I47" s="29">
        <v>39.64</v>
      </c>
      <c r="J47" s="28">
        <v>72.2</v>
      </c>
      <c r="K47" s="29">
        <v>61.97</v>
      </c>
      <c r="L47" s="29">
        <v>97.25</v>
      </c>
      <c r="M47" s="28">
        <v>54.75</v>
      </c>
      <c r="N47" s="46"/>
      <c r="O47" s="52"/>
      <c r="P47" s="45"/>
      <c r="Q47" s="45"/>
      <c r="R47" s="52"/>
      <c r="S47" s="52"/>
      <c r="T47" s="52"/>
      <c r="U47" s="52"/>
      <c r="V47" s="52"/>
    </row>
    <row r="48" spans="1:22" s="44" customFormat="1" x14ac:dyDescent="0.5">
      <c r="A48" s="43"/>
      <c r="B48" s="37" t="s">
        <v>183</v>
      </c>
      <c r="C48" s="42">
        <v>60.34</v>
      </c>
      <c r="D48" s="32">
        <v>59.59</v>
      </c>
      <c r="E48" s="32">
        <v>41.41</v>
      </c>
      <c r="F48" s="31">
        <v>64.650000000000006</v>
      </c>
      <c r="G48" s="32">
        <v>68.73</v>
      </c>
      <c r="H48" s="32">
        <v>59.35</v>
      </c>
      <c r="I48" s="32">
        <v>42.77</v>
      </c>
      <c r="J48" s="31">
        <v>72.73</v>
      </c>
      <c r="K48" s="32">
        <v>62.08</v>
      </c>
      <c r="L48" s="32">
        <v>98.81</v>
      </c>
      <c r="M48" s="31">
        <v>57.5</v>
      </c>
      <c r="N48" s="46"/>
      <c r="O48" s="52"/>
      <c r="P48" s="45"/>
      <c r="Q48" s="45"/>
      <c r="R48" s="52"/>
      <c r="S48" s="52"/>
      <c r="T48" s="52"/>
      <c r="U48" s="52"/>
      <c r="V48" s="52"/>
    </row>
    <row r="49" spans="1:22" s="44" customFormat="1" x14ac:dyDescent="0.5">
      <c r="A49" s="41">
        <v>2003</v>
      </c>
      <c r="B49" s="40" t="s">
        <v>184</v>
      </c>
      <c r="C49" s="39">
        <v>61.33</v>
      </c>
      <c r="D49" s="29">
        <v>59.03</v>
      </c>
      <c r="E49" s="29">
        <v>45.54</v>
      </c>
      <c r="F49" s="28">
        <v>65.62</v>
      </c>
      <c r="G49" s="29">
        <v>69.5</v>
      </c>
      <c r="H49" s="29">
        <v>58.73</v>
      </c>
      <c r="I49" s="29">
        <v>46.7</v>
      </c>
      <c r="J49" s="28">
        <v>73.739999999999995</v>
      </c>
      <c r="K49" s="29">
        <v>62.49</v>
      </c>
      <c r="L49" s="29">
        <v>101.22</v>
      </c>
      <c r="M49" s="28">
        <v>61.3</v>
      </c>
      <c r="N49" s="16">
        <f>(C49-C37)/C37</f>
        <v>0.11306715063520865</v>
      </c>
      <c r="O49" s="14"/>
      <c r="P49" s="53"/>
      <c r="Q49" s="53"/>
      <c r="R49" s="52"/>
      <c r="S49" s="52"/>
      <c r="T49" s="52"/>
      <c r="U49" s="52"/>
      <c r="V49" s="52"/>
    </row>
    <row r="50" spans="1:22" s="44" customFormat="1" x14ac:dyDescent="0.5">
      <c r="A50" s="43"/>
      <c r="B50" s="37" t="s">
        <v>185</v>
      </c>
      <c r="C50" s="42">
        <v>62.29</v>
      </c>
      <c r="D50" s="32">
        <v>59.4</v>
      </c>
      <c r="E50" s="32">
        <v>47.63</v>
      </c>
      <c r="F50" s="31">
        <v>66.599999999999994</v>
      </c>
      <c r="G50" s="32">
        <v>70.37</v>
      </c>
      <c r="H50" s="32">
        <v>59.05</v>
      </c>
      <c r="I50" s="32">
        <v>49.11</v>
      </c>
      <c r="J50" s="31">
        <v>74.69</v>
      </c>
      <c r="K50" s="32">
        <v>63.23</v>
      </c>
      <c r="L50" s="32">
        <v>102.66</v>
      </c>
      <c r="M50" s="31">
        <v>63.38</v>
      </c>
      <c r="N50" s="46"/>
      <c r="O50" s="52"/>
      <c r="P50" s="53"/>
      <c r="Q50" s="53"/>
      <c r="R50" s="52"/>
      <c r="S50" s="52"/>
      <c r="T50" s="52"/>
      <c r="U50" s="52"/>
      <c r="V50" s="52"/>
    </row>
    <row r="51" spans="1:22" s="44" customFormat="1" x14ac:dyDescent="0.5">
      <c r="A51" s="41"/>
      <c r="B51" s="40" t="s">
        <v>186</v>
      </c>
      <c r="C51" s="39">
        <v>62.58</v>
      </c>
      <c r="D51" s="29">
        <v>60.17</v>
      </c>
      <c r="E51" s="29">
        <v>46.11</v>
      </c>
      <c r="F51" s="28">
        <v>67.05</v>
      </c>
      <c r="G51" s="29">
        <v>71.010000000000005</v>
      </c>
      <c r="H51" s="29">
        <v>60.02</v>
      </c>
      <c r="I51" s="29">
        <v>47.42</v>
      </c>
      <c r="J51" s="28">
        <v>75.37</v>
      </c>
      <c r="K51" s="29">
        <v>63.88</v>
      </c>
      <c r="L51" s="29">
        <v>103.34</v>
      </c>
      <c r="M51" s="28">
        <v>62.01</v>
      </c>
      <c r="N51" s="46"/>
      <c r="O51" s="52"/>
      <c r="P51" s="53"/>
      <c r="Q51" s="53"/>
      <c r="R51" s="52"/>
      <c r="S51" s="52"/>
      <c r="T51" s="52"/>
      <c r="U51" s="52"/>
      <c r="V51" s="52"/>
    </row>
    <row r="52" spans="1:22" s="44" customFormat="1" x14ac:dyDescent="0.5">
      <c r="A52" s="43"/>
      <c r="B52" s="37" t="s">
        <v>187</v>
      </c>
      <c r="C52" s="42">
        <v>62.96</v>
      </c>
      <c r="D52" s="32">
        <v>62.95</v>
      </c>
      <c r="E52" s="32">
        <v>42.7</v>
      </c>
      <c r="F52" s="31">
        <v>67.28</v>
      </c>
      <c r="G52" s="32">
        <v>71.78</v>
      </c>
      <c r="H52" s="32">
        <v>62.67</v>
      </c>
      <c r="I52" s="32">
        <v>44.22</v>
      </c>
      <c r="J52" s="31">
        <v>75.78</v>
      </c>
      <c r="K52" s="32">
        <v>64.88</v>
      </c>
      <c r="L52" s="32">
        <v>103.04</v>
      </c>
      <c r="M52" s="31">
        <v>59.53</v>
      </c>
      <c r="N52" s="46"/>
      <c r="O52" s="52"/>
      <c r="P52" s="53"/>
      <c r="Q52" s="53"/>
      <c r="R52" s="52"/>
      <c r="S52" s="52"/>
      <c r="T52" s="52"/>
      <c r="U52" s="52"/>
      <c r="V52" s="52"/>
    </row>
    <row r="53" spans="1:22" s="44" customFormat="1" x14ac:dyDescent="0.5">
      <c r="A53" s="41"/>
      <c r="B53" s="40" t="s">
        <v>188</v>
      </c>
      <c r="C53" s="39">
        <v>62.86</v>
      </c>
      <c r="D53" s="29">
        <v>62.4</v>
      </c>
      <c r="E53" s="29">
        <v>42.15</v>
      </c>
      <c r="F53" s="28">
        <v>67.42</v>
      </c>
      <c r="G53" s="29">
        <v>71.819999999999993</v>
      </c>
      <c r="H53" s="29">
        <v>62.19</v>
      </c>
      <c r="I53" s="29">
        <v>43.8</v>
      </c>
      <c r="J53" s="28">
        <v>76.02</v>
      </c>
      <c r="K53" s="29">
        <v>64.98</v>
      </c>
      <c r="L53" s="29">
        <v>102.8</v>
      </c>
      <c r="M53" s="28">
        <v>58.49</v>
      </c>
      <c r="N53" s="46"/>
      <c r="O53" s="52"/>
      <c r="P53" s="53"/>
      <c r="Q53" s="53"/>
      <c r="R53" s="52"/>
      <c r="S53" s="52"/>
      <c r="T53" s="52"/>
      <c r="U53" s="52"/>
      <c r="V53" s="52"/>
    </row>
    <row r="54" spans="1:22" s="44" customFormat="1" x14ac:dyDescent="0.5">
      <c r="A54" s="43"/>
      <c r="B54" s="37" t="s">
        <v>174</v>
      </c>
      <c r="C54" s="42">
        <v>62.72</v>
      </c>
      <c r="D54" s="32">
        <v>61.43</v>
      </c>
      <c r="E54" s="32">
        <v>43.2</v>
      </c>
      <c r="F54" s="31">
        <v>67.349999999999994</v>
      </c>
      <c r="G54" s="32">
        <v>71.680000000000007</v>
      </c>
      <c r="H54" s="32">
        <v>61.37</v>
      </c>
      <c r="I54" s="32">
        <v>45.04</v>
      </c>
      <c r="J54" s="31">
        <v>76</v>
      </c>
      <c r="K54" s="32">
        <v>64.900000000000006</v>
      </c>
      <c r="L54" s="32">
        <v>102.36</v>
      </c>
      <c r="M54" s="31">
        <v>58.01</v>
      </c>
      <c r="N54" s="46"/>
      <c r="O54" s="52"/>
      <c r="P54" s="53"/>
      <c r="Q54" s="53"/>
      <c r="R54" s="52"/>
      <c r="S54" s="52"/>
      <c r="T54" s="52"/>
      <c r="U54" s="52"/>
      <c r="V54" s="52"/>
    </row>
    <row r="55" spans="1:22" s="44" customFormat="1" x14ac:dyDescent="0.5">
      <c r="A55" s="41"/>
      <c r="B55" s="40" t="s">
        <v>176</v>
      </c>
      <c r="C55" s="39">
        <v>62.92</v>
      </c>
      <c r="D55" s="29">
        <v>61.38</v>
      </c>
      <c r="E55" s="29">
        <v>43.73</v>
      </c>
      <c r="F55" s="28">
        <v>67.58</v>
      </c>
      <c r="G55" s="29">
        <v>71.83</v>
      </c>
      <c r="H55" s="29">
        <v>61.28</v>
      </c>
      <c r="I55" s="29">
        <v>45.71</v>
      </c>
      <c r="J55" s="28">
        <v>76.2</v>
      </c>
      <c r="K55" s="29">
        <v>65.03</v>
      </c>
      <c r="L55" s="29">
        <v>102.65</v>
      </c>
      <c r="M55" s="28">
        <v>58.6</v>
      </c>
      <c r="N55" s="46"/>
      <c r="O55" s="52"/>
      <c r="P55" s="53"/>
      <c r="Q55" s="53"/>
      <c r="R55" s="52"/>
      <c r="S55" s="52"/>
      <c r="T55" s="52"/>
      <c r="U55" s="52"/>
      <c r="V55" s="52"/>
    </row>
    <row r="56" spans="1:22" s="44" customFormat="1" x14ac:dyDescent="0.5">
      <c r="A56" s="43"/>
      <c r="B56" s="37" t="s">
        <v>179</v>
      </c>
      <c r="C56" s="42">
        <v>63.1</v>
      </c>
      <c r="D56" s="32">
        <v>60.47</v>
      </c>
      <c r="E56" s="32">
        <v>44.81</v>
      </c>
      <c r="F56" s="31">
        <v>67.98</v>
      </c>
      <c r="G56" s="32">
        <v>71.95</v>
      </c>
      <c r="H56" s="32">
        <v>60.44</v>
      </c>
      <c r="I56" s="32">
        <v>46.43</v>
      </c>
      <c r="J56" s="31">
        <v>76.569999999999993</v>
      </c>
      <c r="K56" s="32">
        <v>65.13</v>
      </c>
      <c r="L56" s="32">
        <v>102.81</v>
      </c>
      <c r="M56" s="31">
        <v>59.14</v>
      </c>
      <c r="N56" s="46"/>
      <c r="O56" s="52"/>
      <c r="P56" s="53"/>
      <c r="Q56" s="53"/>
      <c r="R56" s="52"/>
      <c r="S56" s="52"/>
      <c r="T56" s="52"/>
      <c r="U56" s="52"/>
      <c r="V56" s="52"/>
    </row>
    <row r="57" spans="1:22" s="44" customFormat="1" x14ac:dyDescent="0.5">
      <c r="A57" s="41"/>
      <c r="B57" s="40" t="s">
        <v>180</v>
      </c>
      <c r="C57" s="39">
        <v>62.93</v>
      </c>
      <c r="D57" s="29">
        <v>60.53</v>
      </c>
      <c r="E57" s="29">
        <v>42.87</v>
      </c>
      <c r="F57" s="28">
        <v>68.05</v>
      </c>
      <c r="G57" s="29">
        <v>71.92</v>
      </c>
      <c r="H57" s="29">
        <v>60.52</v>
      </c>
      <c r="I57" s="29">
        <v>44.19</v>
      </c>
      <c r="J57" s="28">
        <v>76.650000000000006</v>
      </c>
      <c r="K57" s="29">
        <v>65.16</v>
      </c>
      <c r="L57" s="29">
        <v>102.55</v>
      </c>
      <c r="M57" s="28">
        <v>58.01</v>
      </c>
      <c r="N57" s="46"/>
      <c r="O57" s="52"/>
      <c r="P57" s="53"/>
      <c r="Q57" s="53"/>
      <c r="R57" s="52"/>
      <c r="S57" s="52"/>
      <c r="T57" s="52"/>
      <c r="U57" s="52"/>
      <c r="V57" s="52"/>
    </row>
    <row r="58" spans="1:22" s="44" customFormat="1" x14ac:dyDescent="0.5">
      <c r="A58" s="43"/>
      <c r="B58" s="37" t="s">
        <v>181</v>
      </c>
      <c r="C58" s="42">
        <v>63.02</v>
      </c>
      <c r="D58" s="32">
        <v>59.47</v>
      </c>
      <c r="E58" s="32">
        <v>45.34</v>
      </c>
      <c r="F58" s="31">
        <v>68.11</v>
      </c>
      <c r="G58" s="32">
        <v>72.040000000000006</v>
      </c>
      <c r="H58" s="32">
        <v>59.51</v>
      </c>
      <c r="I58" s="32">
        <v>46.43</v>
      </c>
      <c r="J58" s="31">
        <v>76.98</v>
      </c>
      <c r="K58" s="32">
        <v>65.040000000000006</v>
      </c>
      <c r="L58" s="32">
        <v>103.73</v>
      </c>
      <c r="M58" s="31">
        <v>59.07</v>
      </c>
      <c r="N58" s="46"/>
      <c r="O58" s="52"/>
      <c r="P58" s="53"/>
      <c r="Q58" s="53"/>
      <c r="R58" s="52"/>
      <c r="S58" s="52"/>
      <c r="T58" s="52"/>
      <c r="U58" s="52"/>
      <c r="V58" s="52"/>
    </row>
    <row r="59" spans="1:22" s="44" customFormat="1" x14ac:dyDescent="0.5">
      <c r="A59" s="41"/>
      <c r="B59" s="40" t="s">
        <v>182</v>
      </c>
      <c r="C59" s="39">
        <v>63.42</v>
      </c>
      <c r="D59" s="29">
        <v>59.98</v>
      </c>
      <c r="E59" s="29">
        <v>45.82</v>
      </c>
      <c r="F59" s="28">
        <v>68.459999999999994</v>
      </c>
      <c r="G59" s="29">
        <v>72.41</v>
      </c>
      <c r="H59" s="29">
        <v>60.21</v>
      </c>
      <c r="I59" s="29">
        <v>46.68</v>
      </c>
      <c r="J59" s="28">
        <v>77.28</v>
      </c>
      <c r="K59" s="29">
        <v>65.59</v>
      </c>
      <c r="L59" s="29">
        <v>103.35</v>
      </c>
      <c r="M59" s="28">
        <v>58.84</v>
      </c>
      <c r="N59" s="46"/>
      <c r="O59" s="52"/>
      <c r="P59" s="53"/>
      <c r="Q59" s="53"/>
      <c r="R59" s="52"/>
      <c r="S59" s="52"/>
      <c r="T59" s="52"/>
      <c r="U59" s="52"/>
      <c r="V59" s="52"/>
    </row>
    <row r="60" spans="1:22" s="44" customFormat="1" x14ac:dyDescent="0.5">
      <c r="A60" s="43"/>
      <c r="B60" s="37" t="s">
        <v>183</v>
      </c>
      <c r="C60" s="42">
        <v>63.69</v>
      </c>
      <c r="D60" s="32">
        <v>60.55</v>
      </c>
      <c r="E60" s="32">
        <v>46.3</v>
      </c>
      <c r="F60" s="31">
        <v>68.59</v>
      </c>
      <c r="G60" s="32">
        <v>72.66</v>
      </c>
      <c r="H60" s="32">
        <v>60.88</v>
      </c>
      <c r="I60" s="32">
        <v>46.72</v>
      </c>
      <c r="J60" s="31">
        <v>77.39</v>
      </c>
      <c r="K60" s="32">
        <v>65.930000000000007</v>
      </c>
      <c r="L60" s="32">
        <v>103.14</v>
      </c>
      <c r="M60" s="31">
        <v>58.8</v>
      </c>
      <c r="N60" s="46"/>
      <c r="O60" s="52"/>
      <c r="P60" s="53"/>
      <c r="Q60" s="53"/>
      <c r="R60" s="52"/>
      <c r="S60" s="52"/>
      <c r="T60" s="52"/>
      <c r="U60" s="52"/>
      <c r="V60" s="52"/>
    </row>
    <row r="61" spans="1:22" s="44" customFormat="1" x14ac:dyDescent="0.5">
      <c r="A61" s="41">
        <v>2004</v>
      </c>
      <c r="B61" s="40" t="s">
        <v>184</v>
      </c>
      <c r="C61" s="39">
        <v>64.41</v>
      </c>
      <c r="D61" s="29">
        <v>61.44</v>
      </c>
      <c r="E61" s="29">
        <v>46.93</v>
      </c>
      <c r="F61" s="28">
        <v>69.28</v>
      </c>
      <c r="G61" s="29">
        <v>73.16</v>
      </c>
      <c r="H61" s="29">
        <v>61.57</v>
      </c>
      <c r="I61" s="29">
        <v>47.68</v>
      </c>
      <c r="J61" s="28">
        <v>77.81</v>
      </c>
      <c r="K61" s="29">
        <v>66.67</v>
      </c>
      <c r="L61" s="29">
        <v>102.5</v>
      </c>
      <c r="M61" s="28">
        <v>59.47</v>
      </c>
      <c r="N61" s="16">
        <f>(C61-C49)/C49</f>
        <v>5.0220120658731424E-2</v>
      </c>
      <c r="O61" s="14"/>
      <c r="P61" s="53"/>
      <c r="Q61" s="53"/>
      <c r="R61" s="52"/>
      <c r="S61" s="52"/>
      <c r="T61" s="52"/>
      <c r="U61" s="52"/>
      <c r="V61" s="52"/>
    </row>
    <row r="62" spans="1:22" s="44" customFormat="1" x14ac:dyDescent="0.5">
      <c r="A62" s="43"/>
      <c r="B62" s="37" t="s">
        <v>185</v>
      </c>
      <c r="C62" s="42">
        <v>65.03</v>
      </c>
      <c r="D62" s="32">
        <v>62.71</v>
      </c>
      <c r="E62" s="32">
        <v>47.28</v>
      </c>
      <c r="F62" s="31">
        <v>69.709999999999994</v>
      </c>
      <c r="G62" s="32">
        <v>73.86</v>
      </c>
      <c r="H62" s="32">
        <v>62.96</v>
      </c>
      <c r="I62" s="32">
        <v>48.48</v>
      </c>
      <c r="J62" s="31">
        <v>78.290000000000006</v>
      </c>
      <c r="K62" s="32">
        <v>67.47</v>
      </c>
      <c r="L62" s="32">
        <v>102.79</v>
      </c>
      <c r="M62" s="31">
        <v>59.31</v>
      </c>
      <c r="N62" s="46"/>
      <c r="O62" s="52"/>
      <c r="P62" s="53"/>
      <c r="Q62" s="53"/>
      <c r="R62" s="52"/>
      <c r="S62" s="52"/>
      <c r="T62" s="52"/>
      <c r="U62" s="52"/>
      <c r="V62" s="52"/>
    </row>
    <row r="63" spans="1:22" s="44" customFormat="1" x14ac:dyDescent="0.5">
      <c r="A63" s="41"/>
      <c r="B63" s="40" t="s">
        <v>186</v>
      </c>
      <c r="C63" s="39">
        <v>65.430000000000007</v>
      </c>
      <c r="D63" s="29">
        <v>63.42</v>
      </c>
      <c r="E63" s="29">
        <v>47.08</v>
      </c>
      <c r="F63" s="28">
        <v>70.13</v>
      </c>
      <c r="G63" s="29">
        <v>74.260000000000005</v>
      </c>
      <c r="H63" s="29">
        <v>63.3</v>
      </c>
      <c r="I63" s="29">
        <v>49.02</v>
      </c>
      <c r="J63" s="28">
        <v>78.680000000000007</v>
      </c>
      <c r="K63" s="29">
        <v>68.09</v>
      </c>
      <c r="L63" s="29">
        <v>102.1</v>
      </c>
      <c r="M63" s="28">
        <v>58.75</v>
      </c>
      <c r="N63" s="46"/>
      <c r="O63" s="52"/>
      <c r="P63" s="53"/>
      <c r="Q63" s="53"/>
      <c r="R63" s="52"/>
      <c r="S63" s="52"/>
      <c r="T63" s="52"/>
      <c r="U63" s="52"/>
      <c r="V63" s="52"/>
    </row>
    <row r="64" spans="1:22" s="44" customFormat="1" x14ac:dyDescent="0.5">
      <c r="A64" s="43"/>
      <c r="B64" s="37" t="s">
        <v>187</v>
      </c>
      <c r="C64" s="42">
        <v>65.92</v>
      </c>
      <c r="D64" s="32">
        <v>63.66</v>
      </c>
      <c r="E64" s="32">
        <v>47.06</v>
      </c>
      <c r="F64" s="31">
        <v>70.8</v>
      </c>
      <c r="G64" s="32">
        <v>74.739999999999995</v>
      </c>
      <c r="H64" s="32">
        <v>63.5</v>
      </c>
      <c r="I64" s="32">
        <v>49.06</v>
      </c>
      <c r="J64" s="31">
        <v>79.27</v>
      </c>
      <c r="K64" s="32">
        <v>68.75</v>
      </c>
      <c r="L64" s="32">
        <v>101.81</v>
      </c>
      <c r="M64" s="31">
        <v>58.49</v>
      </c>
      <c r="N64" s="46"/>
      <c r="O64" s="52"/>
      <c r="P64" s="53"/>
      <c r="Q64" s="53"/>
      <c r="R64" s="52"/>
      <c r="S64" s="52"/>
      <c r="T64" s="52"/>
      <c r="U64" s="52"/>
      <c r="V64" s="52"/>
    </row>
    <row r="65" spans="1:22" s="44" customFormat="1" x14ac:dyDescent="0.5">
      <c r="A65" s="41"/>
      <c r="B65" s="40" t="s">
        <v>188</v>
      </c>
      <c r="C65" s="39">
        <v>66.95</v>
      </c>
      <c r="D65" s="29">
        <v>64.56</v>
      </c>
      <c r="E65" s="29">
        <v>50.16</v>
      </c>
      <c r="F65" s="28">
        <v>71.510000000000005</v>
      </c>
      <c r="G65" s="29">
        <v>75.62</v>
      </c>
      <c r="H65" s="29">
        <v>64.22</v>
      </c>
      <c r="I65" s="29">
        <v>53.18</v>
      </c>
      <c r="J65" s="28">
        <v>80.010000000000005</v>
      </c>
      <c r="K65" s="29">
        <v>69.44</v>
      </c>
      <c r="L65" s="29">
        <v>103.53</v>
      </c>
      <c r="M65" s="28">
        <v>61.18</v>
      </c>
      <c r="N65" s="46"/>
      <c r="O65" s="52"/>
      <c r="P65" s="53"/>
      <c r="Q65" s="53"/>
      <c r="R65" s="52"/>
      <c r="S65" s="52"/>
      <c r="T65" s="52"/>
      <c r="U65" s="52"/>
      <c r="V65" s="52"/>
    </row>
    <row r="66" spans="1:22" s="44" customFormat="1" x14ac:dyDescent="0.5">
      <c r="A66" s="43"/>
      <c r="B66" s="37" t="s">
        <v>174</v>
      </c>
      <c r="C66" s="42">
        <v>67.180000000000007</v>
      </c>
      <c r="D66" s="32">
        <v>64.69</v>
      </c>
      <c r="E66" s="32">
        <v>49.09</v>
      </c>
      <c r="F66" s="31">
        <v>72.02</v>
      </c>
      <c r="G66" s="32">
        <v>75.89</v>
      </c>
      <c r="H66" s="32">
        <v>64.48</v>
      </c>
      <c r="I66" s="32">
        <v>52.2</v>
      </c>
      <c r="J66" s="31">
        <v>80.36</v>
      </c>
      <c r="K66" s="32">
        <v>69.7</v>
      </c>
      <c r="L66" s="32">
        <v>103.89</v>
      </c>
      <c r="M66" s="31">
        <v>61.31</v>
      </c>
      <c r="N66" s="46"/>
      <c r="O66" s="52"/>
      <c r="P66" s="53"/>
      <c r="Q66" s="53"/>
      <c r="R66" s="52"/>
      <c r="S66" s="52"/>
      <c r="T66" s="52"/>
      <c r="U66" s="52"/>
      <c r="V66" s="52"/>
    </row>
    <row r="67" spans="1:22" s="44" customFormat="1" x14ac:dyDescent="0.5">
      <c r="A67" s="41"/>
      <c r="B67" s="40" t="s">
        <v>176</v>
      </c>
      <c r="C67" s="39">
        <v>66.849999999999994</v>
      </c>
      <c r="D67" s="29">
        <v>63.22</v>
      </c>
      <c r="E67" s="29">
        <v>50.38</v>
      </c>
      <c r="F67" s="28">
        <v>71.790000000000006</v>
      </c>
      <c r="G67" s="29">
        <v>75.59</v>
      </c>
      <c r="H67" s="29">
        <v>63.29</v>
      </c>
      <c r="I67" s="29">
        <v>53.38</v>
      </c>
      <c r="J67" s="28">
        <v>80.239999999999995</v>
      </c>
      <c r="K67" s="29">
        <v>69.489999999999995</v>
      </c>
      <c r="L67" s="29">
        <v>103.12</v>
      </c>
      <c r="M67" s="28">
        <v>60.37</v>
      </c>
      <c r="N67" s="46"/>
      <c r="O67" s="52"/>
      <c r="P67" s="53"/>
      <c r="Q67" s="53"/>
      <c r="R67" s="52"/>
      <c r="S67" s="52"/>
      <c r="T67" s="52"/>
      <c r="U67" s="52"/>
      <c r="V67" s="52"/>
    </row>
    <row r="68" spans="1:22" s="44" customFormat="1" x14ac:dyDescent="0.5">
      <c r="A68" s="43"/>
      <c r="B68" s="37" t="s">
        <v>179</v>
      </c>
      <c r="C68" s="42">
        <v>66.97</v>
      </c>
      <c r="D68" s="32">
        <v>62.96</v>
      </c>
      <c r="E68" s="32">
        <v>51.64</v>
      </c>
      <c r="F68" s="31">
        <v>71.84</v>
      </c>
      <c r="G68" s="32">
        <v>75.66</v>
      </c>
      <c r="H68" s="32">
        <v>63.11</v>
      </c>
      <c r="I68" s="32">
        <v>54.88</v>
      </c>
      <c r="J68" s="31">
        <v>80.3</v>
      </c>
      <c r="K68" s="32">
        <v>69.709999999999994</v>
      </c>
      <c r="L68" s="32">
        <v>102.48</v>
      </c>
      <c r="M68" s="31">
        <v>60.04</v>
      </c>
      <c r="N68" s="46"/>
      <c r="O68" s="52"/>
      <c r="P68" s="53"/>
      <c r="Q68" s="53"/>
      <c r="R68" s="52"/>
      <c r="S68" s="52"/>
      <c r="T68" s="52"/>
      <c r="U68" s="52"/>
      <c r="V68" s="52"/>
    </row>
    <row r="69" spans="1:22" s="44" customFormat="1" x14ac:dyDescent="0.5">
      <c r="A69" s="41"/>
      <c r="B69" s="40" t="s">
        <v>180</v>
      </c>
      <c r="C69" s="39">
        <v>67.25</v>
      </c>
      <c r="D69" s="29">
        <v>63.66</v>
      </c>
      <c r="E69" s="29">
        <v>51.88</v>
      </c>
      <c r="F69" s="28">
        <v>71.98</v>
      </c>
      <c r="G69" s="29">
        <v>75.89</v>
      </c>
      <c r="H69" s="29">
        <v>63.91</v>
      </c>
      <c r="I69" s="29">
        <v>55.6</v>
      </c>
      <c r="J69" s="28">
        <v>80.33</v>
      </c>
      <c r="K69" s="29">
        <v>70.099999999999994</v>
      </c>
      <c r="L69" s="29">
        <v>101.98</v>
      </c>
      <c r="M69" s="28">
        <v>59.83</v>
      </c>
      <c r="N69" s="46"/>
      <c r="O69" s="52"/>
      <c r="P69" s="53"/>
      <c r="Q69" s="53"/>
      <c r="R69" s="52"/>
      <c r="S69" s="52"/>
      <c r="T69" s="52"/>
      <c r="U69" s="52"/>
      <c r="V69" s="52"/>
    </row>
    <row r="70" spans="1:22" s="44" customFormat="1" x14ac:dyDescent="0.5">
      <c r="A70" s="43"/>
      <c r="B70" s="37" t="s">
        <v>181</v>
      </c>
      <c r="C70" s="42">
        <v>68</v>
      </c>
      <c r="D70" s="32">
        <v>63.29</v>
      </c>
      <c r="E70" s="32">
        <v>55.73</v>
      </c>
      <c r="F70" s="31">
        <v>72.56</v>
      </c>
      <c r="G70" s="32">
        <v>76.22</v>
      </c>
      <c r="H70" s="32">
        <v>63.35</v>
      </c>
      <c r="I70" s="32">
        <v>59.83</v>
      </c>
      <c r="J70" s="31">
        <v>80.709999999999994</v>
      </c>
      <c r="K70" s="32">
        <v>70.39</v>
      </c>
      <c r="L70" s="32">
        <v>102.5</v>
      </c>
      <c r="M70" s="31">
        <v>62.75</v>
      </c>
      <c r="N70" s="46"/>
      <c r="O70" s="52"/>
      <c r="P70" s="53"/>
      <c r="Q70" s="53"/>
      <c r="R70" s="52"/>
      <c r="S70" s="52"/>
      <c r="T70" s="52"/>
      <c r="U70" s="52"/>
      <c r="V70" s="52"/>
    </row>
    <row r="71" spans="1:22" s="44" customFormat="1" x14ac:dyDescent="0.5">
      <c r="A71" s="41"/>
      <c r="B71" s="40" t="s">
        <v>182</v>
      </c>
      <c r="C71" s="39">
        <v>67.83</v>
      </c>
      <c r="D71" s="29">
        <v>63.92</v>
      </c>
      <c r="E71" s="29">
        <v>52.23</v>
      </c>
      <c r="F71" s="28">
        <v>72.72</v>
      </c>
      <c r="G71" s="29">
        <v>76.38</v>
      </c>
      <c r="H71" s="29">
        <v>64.180000000000007</v>
      </c>
      <c r="I71" s="29">
        <v>56.57</v>
      </c>
      <c r="J71" s="28">
        <v>80.86</v>
      </c>
      <c r="K71" s="29">
        <v>70.59</v>
      </c>
      <c r="L71" s="29">
        <v>102.48</v>
      </c>
      <c r="M71" s="28">
        <v>60.88</v>
      </c>
      <c r="N71" s="46"/>
      <c r="O71" s="52"/>
      <c r="P71" s="53"/>
      <c r="Q71" s="53"/>
      <c r="R71" s="52"/>
      <c r="S71" s="52"/>
      <c r="T71" s="52"/>
      <c r="U71" s="52"/>
      <c r="V71" s="52"/>
    </row>
    <row r="72" spans="1:22" s="44" customFormat="1" x14ac:dyDescent="0.5">
      <c r="A72" s="43"/>
      <c r="B72" s="37" t="s">
        <v>183</v>
      </c>
      <c r="C72" s="42">
        <v>67.239999999999995</v>
      </c>
      <c r="D72" s="32">
        <v>64.2</v>
      </c>
      <c r="E72" s="32">
        <v>47.6</v>
      </c>
      <c r="F72" s="31">
        <v>72.55</v>
      </c>
      <c r="G72" s="32">
        <v>76.03</v>
      </c>
      <c r="H72" s="32">
        <v>64.61</v>
      </c>
      <c r="I72" s="32">
        <v>52.23</v>
      </c>
      <c r="J72" s="31">
        <v>80.510000000000005</v>
      </c>
      <c r="K72" s="32">
        <v>70.58</v>
      </c>
      <c r="L72" s="32">
        <v>100.57</v>
      </c>
      <c r="M72" s="31">
        <v>57.48</v>
      </c>
      <c r="N72" s="46"/>
      <c r="O72" s="52"/>
      <c r="P72" s="53"/>
      <c r="Q72" s="53"/>
      <c r="R72" s="52"/>
      <c r="S72" s="52"/>
      <c r="T72" s="52"/>
      <c r="U72" s="52"/>
      <c r="V72" s="52"/>
    </row>
    <row r="73" spans="1:22" s="44" customFormat="1" x14ac:dyDescent="0.5">
      <c r="A73" s="41">
        <v>2005</v>
      </c>
      <c r="B73" s="40" t="s">
        <v>184</v>
      </c>
      <c r="C73" s="39">
        <v>67.849999999999994</v>
      </c>
      <c r="D73" s="29">
        <v>65.319999999999993</v>
      </c>
      <c r="E73" s="29">
        <v>49.2</v>
      </c>
      <c r="F73" s="28">
        <v>72.8</v>
      </c>
      <c r="G73" s="29">
        <v>76.400000000000006</v>
      </c>
      <c r="H73" s="29">
        <v>65.760000000000005</v>
      </c>
      <c r="I73" s="29">
        <v>54.23</v>
      </c>
      <c r="J73" s="28">
        <v>80.53</v>
      </c>
      <c r="K73" s="29">
        <v>71.19</v>
      </c>
      <c r="L73" s="29">
        <v>99.84</v>
      </c>
      <c r="M73" s="28">
        <v>58.16</v>
      </c>
      <c r="N73" s="16">
        <f>(C73-C61)/C61</f>
        <v>5.340785592299329E-2</v>
      </c>
      <c r="O73" s="14"/>
      <c r="P73" s="53"/>
      <c r="Q73" s="53"/>
      <c r="R73" s="52"/>
      <c r="S73" s="52"/>
      <c r="T73" s="52"/>
      <c r="U73" s="52"/>
      <c r="V73" s="52"/>
    </row>
    <row r="74" spans="1:22" s="44" customFormat="1" x14ac:dyDescent="0.5">
      <c r="A74" s="43"/>
      <c r="B74" s="37" t="s">
        <v>185</v>
      </c>
      <c r="C74" s="42">
        <v>68.7</v>
      </c>
      <c r="D74" s="32">
        <v>67.040000000000006</v>
      </c>
      <c r="E74" s="32">
        <v>50.41</v>
      </c>
      <c r="F74" s="31">
        <v>73.290000000000006</v>
      </c>
      <c r="G74" s="32">
        <v>77.040000000000006</v>
      </c>
      <c r="H74" s="32">
        <v>67.400000000000006</v>
      </c>
      <c r="I74" s="32">
        <v>55.56</v>
      </c>
      <c r="J74" s="31">
        <v>80.819999999999993</v>
      </c>
      <c r="K74" s="32">
        <v>71.989999999999995</v>
      </c>
      <c r="L74" s="32">
        <v>99.71</v>
      </c>
      <c r="M74" s="31">
        <v>59.3</v>
      </c>
      <c r="N74" s="46"/>
      <c r="O74" s="52"/>
      <c r="P74" s="53"/>
      <c r="Q74" s="53"/>
      <c r="R74" s="52"/>
      <c r="S74" s="52"/>
      <c r="T74" s="52"/>
      <c r="U74" s="52"/>
      <c r="V74" s="52"/>
    </row>
    <row r="75" spans="1:22" s="44" customFormat="1" x14ac:dyDescent="0.5">
      <c r="A75" s="41"/>
      <c r="B75" s="40" t="s">
        <v>186</v>
      </c>
      <c r="C75" s="39">
        <v>69.95</v>
      </c>
      <c r="D75" s="29">
        <v>69.099999999999994</v>
      </c>
      <c r="E75" s="29">
        <v>53.95</v>
      </c>
      <c r="F75" s="28">
        <v>73.86</v>
      </c>
      <c r="G75" s="29">
        <v>77.92</v>
      </c>
      <c r="H75" s="29">
        <v>69.489999999999995</v>
      </c>
      <c r="I75" s="29">
        <v>59.41</v>
      </c>
      <c r="J75" s="28">
        <v>81.14</v>
      </c>
      <c r="K75" s="29">
        <v>73</v>
      </c>
      <c r="L75" s="29">
        <v>100.03</v>
      </c>
      <c r="M75" s="28">
        <v>61.86</v>
      </c>
      <c r="N75" s="46"/>
      <c r="O75" s="52"/>
      <c r="P75" s="53"/>
      <c r="Q75" s="53"/>
      <c r="R75" s="52"/>
      <c r="S75" s="52"/>
      <c r="T75" s="52"/>
      <c r="U75" s="52"/>
      <c r="V75" s="52"/>
    </row>
    <row r="76" spans="1:22" s="44" customFormat="1" x14ac:dyDescent="0.5">
      <c r="A76" s="43"/>
      <c r="B76" s="37" t="s">
        <v>187</v>
      </c>
      <c r="C76" s="42">
        <v>69.75</v>
      </c>
      <c r="D76" s="32">
        <v>68.489999999999995</v>
      </c>
      <c r="E76" s="32">
        <v>53.16</v>
      </c>
      <c r="F76" s="31">
        <v>73.91</v>
      </c>
      <c r="G76" s="32">
        <v>77.84</v>
      </c>
      <c r="H76" s="32">
        <v>68.89</v>
      </c>
      <c r="I76" s="32">
        <v>58.7</v>
      </c>
      <c r="J76" s="31">
        <v>81.28</v>
      </c>
      <c r="K76" s="32">
        <v>72.900000000000006</v>
      </c>
      <c r="L76" s="32">
        <v>100.04</v>
      </c>
      <c r="M76" s="31">
        <v>61.14</v>
      </c>
      <c r="N76" s="46"/>
      <c r="O76" s="52"/>
      <c r="P76" s="53"/>
      <c r="Q76" s="53"/>
      <c r="R76" s="52"/>
      <c r="S76" s="52"/>
      <c r="T76" s="52"/>
      <c r="U76" s="52"/>
      <c r="V76" s="52"/>
    </row>
    <row r="77" spans="1:22" s="44" customFormat="1" x14ac:dyDescent="0.5">
      <c r="A77" s="41"/>
      <c r="B77" s="40" t="s">
        <v>188</v>
      </c>
      <c r="C77" s="39">
        <v>69.75</v>
      </c>
      <c r="D77" s="29">
        <v>68.489999999999995</v>
      </c>
      <c r="E77" s="29">
        <v>52.11</v>
      </c>
      <c r="F77" s="28">
        <v>74.09</v>
      </c>
      <c r="G77" s="29">
        <v>77.89</v>
      </c>
      <c r="H77" s="29">
        <v>68.91</v>
      </c>
      <c r="I77" s="29">
        <v>57.55</v>
      </c>
      <c r="J77" s="28">
        <v>81.39</v>
      </c>
      <c r="K77" s="29">
        <v>72.97</v>
      </c>
      <c r="L77" s="29">
        <v>99.96</v>
      </c>
      <c r="M77" s="28">
        <v>60.82</v>
      </c>
      <c r="N77" s="46"/>
      <c r="O77" s="52"/>
      <c r="P77" s="53"/>
      <c r="Q77" s="53"/>
      <c r="R77" s="52"/>
      <c r="S77" s="52"/>
      <c r="T77" s="52"/>
      <c r="U77" s="52"/>
      <c r="V77" s="52"/>
    </row>
    <row r="78" spans="1:22" s="44" customFormat="1" x14ac:dyDescent="0.5">
      <c r="A78" s="43"/>
      <c r="B78" s="37" t="s">
        <v>174</v>
      </c>
      <c r="C78" s="42">
        <v>70.099999999999994</v>
      </c>
      <c r="D78" s="32">
        <v>68.34</v>
      </c>
      <c r="E78" s="32">
        <v>54.73</v>
      </c>
      <c r="F78" s="31">
        <v>74.209999999999994</v>
      </c>
      <c r="G78" s="32">
        <v>77.97</v>
      </c>
      <c r="H78" s="32">
        <v>68.680000000000007</v>
      </c>
      <c r="I78" s="32">
        <v>60.89</v>
      </c>
      <c r="J78" s="31">
        <v>81.37</v>
      </c>
      <c r="K78" s="32">
        <v>73.11</v>
      </c>
      <c r="L78" s="32">
        <v>99.8</v>
      </c>
      <c r="M78" s="31">
        <v>62.22</v>
      </c>
      <c r="N78" s="46"/>
      <c r="O78" s="52"/>
      <c r="P78" s="53"/>
      <c r="Q78" s="53"/>
      <c r="R78" s="52"/>
      <c r="S78" s="52"/>
      <c r="T78" s="52"/>
      <c r="U78" s="52"/>
      <c r="V78" s="52"/>
    </row>
    <row r="79" spans="1:22" s="44" customFormat="1" x14ac:dyDescent="0.5">
      <c r="A79" s="41"/>
      <c r="B79" s="40" t="s">
        <v>176</v>
      </c>
      <c r="C79" s="39">
        <v>69.989999999999995</v>
      </c>
      <c r="D79" s="29">
        <v>67.86</v>
      </c>
      <c r="E79" s="29">
        <v>55.08</v>
      </c>
      <c r="F79" s="28">
        <v>74.150000000000006</v>
      </c>
      <c r="G79" s="29">
        <v>77.89</v>
      </c>
      <c r="H79" s="29">
        <v>68.27</v>
      </c>
      <c r="I79" s="29">
        <v>61.85</v>
      </c>
      <c r="J79" s="28">
        <v>81.34</v>
      </c>
      <c r="K79" s="29">
        <v>73.08</v>
      </c>
      <c r="L79" s="29">
        <v>99.46</v>
      </c>
      <c r="M79" s="28">
        <v>61.71</v>
      </c>
      <c r="N79" s="46"/>
      <c r="O79" s="52"/>
      <c r="P79" s="53"/>
      <c r="Q79" s="53"/>
      <c r="R79" s="52"/>
      <c r="S79" s="52"/>
      <c r="T79" s="52"/>
      <c r="U79" s="52"/>
      <c r="V79" s="52"/>
    </row>
    <row r="80" spans="1:22" s="44" customFormat="1" x14ac:dyDescent="0.5">
      <c r="A80" s="43"/>
      <c r="B80" s="37" t="s">
        <v>179</v>
      </c>
      <c r="C80" s="42">
        <v>70.180000000000007</v>
      </c>
      <c r="D80" s="32">
        <v>67.42</v>
      </c>
      <c r="E80" s="32">
        <v>57.62</v>
      </c>
      <c r="F80" s="31">
        <v>74.13</v>
      </c>
      <c r="G80" s="32">
        <v>77.87</v>
      </c>
      <c r="H80" s="32">
        <v>67.819999999999993</v>
      </c>
      <c r="I80" s="32">
        <v>64.98</v>
      </c>
      <c r="J80" s="31">
        <v>81.260000000000005</v>
      </c>
      <c r="K80" s="32">
        <v>73.11</v>
      </c>
      <c r="L80" s="32">
        <v>99.18</v>
      </c>
      <c r="M80" s="31">
        <v>62.6</v>
      </c>
      <c r="N80" s="46"/>
      <c r="O80" s="52"/>
      <c r="P80" s="53"/>
      <c r="Q80" s="53"/>
      <c r="R80" s="52"/>
      <c r="S80" s="52"/>
      <c r="T80" s="52"/>
      <c r="U80" s="52"/>
      <c r="V80" s="52"/>
    </row>
    <row r="81" spans="1:22" s="44" customFormat="1" x14ac:dyDescent="0.5">
      <c r="A81" s="41"/>
      <c r="B81" s="40" t="s">
        <v>180</v>
      </c>
      <c r="C81" s="39">
        <v>69.83</v>
      </c>
      <c r="D81" s="29">
        <v>66.72</v>
      </c>
      <c r="E81" s="29">
        <v>57.47</v>
      </c>
      <c r="F81" s="28">
        <v>73.87</v>
      </c>
      <c r="G81" s="29">
        <v>77.56</v>
      </c>
      <c r="H81" s="29">
        <v>67.069999999999993</v>
      </c>
      <c r="I81" s="29">
        <v>65</v>
      </c>
      <c r="J81" s="28">
        <v>81.08</v>
      </c>
      <c r="K81" s="29">
        <v>72.819999999999993</v>
      </c>
      <c r="L81" s="29">
        <v>98.84</v>
      </c>
      <c r="M81" s="28">
        <v>61.99</v>
      </c>
      <c r="N81" s="46"/>
      <c r="O81" s="52"/>
      <c r="P81" s="53"/>
      <c r="Q81" s="53"/>
      <c r="R81" s="52"/>
      <c r="S81" s="52"/>
      <c r="T81" s="52"/>
      <c r="U81" s="52"/>
      <c r="V81" s="52"/>
    </row>
    <row r="82" spans="1:22" s="44" customFormat="1" x14ac:dyDescent="0.5">
      <c r="A82" s="43"/>
      <c r="B82" s="37" t="s">
        <v>181</v>
      </c>
      <c r="C82" s="42">
        <v>70.16</v>
      </c>
      <c r="D82" s="32">
        <v>68.150000000000006</v>
      </c>
      <c r="E82" s="32">
        <v>55.94</v>
      </c>
      <c r="F82" s="31">
        <v>74.150000000000006</v>
      </c>
      <c r="G82" s="32">
        <v>77.91</v>
      </c>
      <c r="H82" s="32">
        <v>68.53</v>
      </c>
      <c r="I82" s="32">
        <v>63.42</v>
      </c>
      <c r="J82" s="31">
        <v>81.19</v>
      </c>
      <c r="K82" s="32">
        <v>73.290000000000006</v>
      </c>
      <c r="L82" s="32">
        <v>98.6</v>
      </c>
      <c r="M82" s="31">
        <v>61.69</v>
      </c>
      <c r="N82" s="46"/>
      <c r="O82" s="52"/>
      <c r="P82" s="53"/>
      <c r="Q82" s="53"/>
      <c r="R82" s="52"/>
      <c r="S82" s="52"/>
      <c r="T82" s="52"/>
      <c r="U82" s="52"/>
      <c r="V82" s="52"/>
    </row>
    <row r="83" spans="1:22" s="44" customFormat="1" x14ac:dyDescent="0.5">
      <c r="A83" s="41"/>
      <c r="B83" s="40" t="s">
        <v>182</v>
      </c>
      <c r="C83" s="39">
        <v>69.84</v>
      </c>
      <c r="D83" s="29">
        <v>67.67</v>
      </c>
      <c r="E83" s="29">
        <v>53.7</v>
      </c>
      <c r="F83" s="28">
        <v>74.23</v>
      </c>
      <c r="G83" s="29">
        <v>77.75</v>
      </c>
      <c r="H83" s="29">
        <v>68.02</v>
      </c>
      <c r="I83" s="29">
        <v>61.1</v>
      </c>
      <c r="J83" s="28">
        <v>81.28</v>
      </c>
      <c r="K83" s="29">
        <v>73.17</v>
      </c>
      <c r="L83" s="29">
        <v>98.28</v>
      </c>
      <c r="M83" s="28">
        <v>60.37</v>
      </c>
      <c r="N83" s="46"/>
      <c r="O83" s="52"/>
      <c r="P83" s="53"/>
      <c r="Q83" s="53"/>
      <c r="R83" s="52"/>
      <c r="S83" s="52"/>
      <c r="T83" s="52"/>
      <c r="U83" s="52"/>
      <c r="V83" s="52"/>
    </row>
    <row r="84" spans="1:22" s="44" customFormat="1" x14ac:dyDescent="0.5">
      <c r="A84" s="43"/>
      <c r="B84" s="37" t="s">
        <v>183</v>
      </c>
      <c r="C84" s="42">
        <v>69.739999999999995</v>
      </c>
      <c r="D84" s="32">
        <v>66.86</v>
      </c>
      <c r="E84" s="32">
        <v>54.56</v>
      </c>
      <c r="F84" s="31">
        <v>74.2</v>
      </c>
      <c r="G84" s="32">
        <v>77.61</v>
      </c>
      <c r="H84" s="32">
        <v>67.19</v>
      </c>
      <c r="I84" s="32">
        <v>61.51</v>
      </c>
      <c r="J84" s="31">
        <v>81.3</v>
      </c>
      <c r="K84" s="32">
        <v>73</v>
      </c>
      <c r="L84" s="32">
        <v>98.25</v>
      </c>
      <c r="M84" s="31">
        <v>60.6</v>
      </c>
      <c r="N84" s="46"/>
      <c r="O84" s="52"/>
      <c r="P84" s="53"/>
      <c r="Q84" s="53"/>
      <c r="R84" s="52"/>
      <c r="S84" s="52"/>
      <c r="T84" s="52"/>
      <c r="U84" s="52"/>
      <c r="V84" s="52"/>
    </row>
    <row r="85" spans="1:22" s="44" customFormat="1" x14ac:dyDescent="0.5">
      <c r="A85" s="41">
        <v>2006</v>
      </c>
      <c r="B85" s="40" t="s">
        <v>184</v>
      </c>
      <c r="C85" s="39">
        <v>70.569999999999993</v>
      </c>
      <c r="D85" s="29">
        <v>67.88</v>
      </c>
      <c r="E85" s="29">
        <v>57.65</v>
      </c>
      <c r="F85" s="28">
        <v>74.569999999999993</v>
      </c>
      <c r="G85" s="29">
        <v>78.180000000000007</v>
      </c>
      <c r="H85" s="29">
        <v>68.260000000000005</v>
      </c>
      <c r="I85" s="29">
        <v>64.989999999999995</v>
      </c>
      <c r="J85" s="28">
        <v>81.56</v>
      </c>
      <c r="K85" s="29">
        <v>73.66</v>
      </c>
      <c r="L85" s="29">
        <v>98.43</v>
      </c>
      <c r="M85" s="28">
        <v>62.32</v>
      </c>
      <c r="N85" s="16">
        <f>(C85-C73)/C73</f>
        <v>4.0088430361090631E-2</v>
      </c>
      <c r="O85" s="14"/>
      <c r="P85" s="53"/>
      <c r="Q85" s="53"/>
      <c r="R85" s="52"/>
      <c r="S85" s="52"/>
      <c r="T85" s="52"/>
      <c r="U85" s="52"/>
      <c r="V85" s="52"/>
    </row>
    <row r="86" spans="1:22" s="44" customFormat="1" x14ac:dyDescent="0.5">
      <c r="A86" s="43"/>
      <c r="B86" s="37" t="s">
        <v>185</v>
      </c>
      <c r="C86" s="42">
        <v>70.61</v>
      </c>
      <c r="D86" s="32">
        <v>68.58</v>
      </c>
      <c r="E86" s="32">
        <v>55.68</v>
      </c>
      <c r="F86" s="31">
        <v>74.73</v>
      </c>
      <c r="G86" s="32">
        <v>78.31</v>
      </c>
      <c r="H86" s="32">
        <v>68.77</v>
      </c>
      <c r="I86" s="32">
        <v>63.07</v>
      </c>
      <c r="J86" s="31">
        <v>81.69</v>
      </c>
      <c r="K86" s="32">
        <v>73.849999999999994</v>
      </c>
      <c r="L86" s="32">
        <v>98.29</v>
      </c>
      <c r="M86" s="31">
        <v>61.63</v>
      </c>
      <c r="N86" s="46"/>
      <c r="O86" s="52"/>
      <c r="P86" s="53"/>
      <c r="Q86" s="53"/>
      <c r="R86" s="52"/>
      <c r="S86" s="52"/>
      <c r="T86" s="52"/>
      <c r="U86" s="52"/>
      <c r="V86" s="52"/>
    </row>
    <row r="87" spans="1:22" s="44" customFormat="1" x14ac:dyDescent="0.5">
      <c r="A87" s="41"/>
      <c r="B87" s="40" t="s">
        <v>186</v>
      </c>
      <c r="C87" s="39">
        <v>71.430000000000007</v>
      </c>
      <c r="D87" s="29">
        <v>70.13</v>
      </c>
      <c r="E87" s="29">
        <v>56.69</v>
      </c>
      <c r="F87" s="28">
        <v>75.27</v>
      </c>
      <c r="G87" s="29">
        <v>79.05</v>
      </c>
      <c r="H87" s="29">
        <v>70.33</v>
      </c>
      <c r="I87" s="29">
        <v>63.79</v>
      </c>
      <c r="J87" s="28">
        <v>82.17</v>
      </c>
      <c r="K87" s="29">
        <v>74.7</v>
      </c>
      <c r="L87" s="29">
        <v>98.52</v>
      </c>
      <c r="M87" s="28">
        <v>62.43</v>
      </c>
      <c r="N87" s="46"/>
      <c r="O87" s="52"/>
      <c r="P87" s="53"/>
      <c r="Q87" s="53"/>
      <c r="R87" s="52"/>
      <c r="S87" s="52"/>
      <c r="T87" s="52"/>
      <c r="U87" s="52"/>
      <c r="V87" s="52"/>
    </row>
    <row r="88" spans="1:22" s="44" customFormat="1" x14ac:dyDescent="0.5">
      <c r="A88" s="43"/>
      <c r="B88" s="37" t="s">
        <v>187</v>
      </c>
      <c r="C88" s="42">
        <v>73.16</v>
      </c>
      <c r="D88" s="32">
        <v>71.17</v>
      </c>
      <c r="E88" s="32">
        <v>61.36</v>
      </c>
      <c r="F88" s="31">
        <v>76.73</v>
      </c>
      <c r="G88" s="32">
        <v>80.42</v>
      </c>
      <c r="H88" s="32">
        <v>71.38</v>
      </c>
      <c r="I88" s="32">
        <v>68.58</v>
      </c>
      <c r="J88" s="31">
        <v>83.44</v>
      </c>
      <c r="K88" s="32">
        <v>76.11</v>
      </c>
      <c r="L88" s="32">
        <v>99.73</v>
      </c>
      <c r="M88" s="31">
        <v>65.8</v>
      </c>
      <c r="N88" s="46"/>
      <c r="O88" s="52"/>
      <c r="P88" s="53"/>
      <c r="Q88" s="53"/>
      <c r="R88" s="52"/>
      <c r="S88" s="52"/>
      <c r="T88" s="52"/>
      <c r="U88" s="52"/>
      <c r="V88" s="52"/>
    </row>
    <row r="89" spans="1:22" s="44" customFormat="1" x14ac:dyDescent="0.5">
      <c r="A89" s="41"/>
      <c r="B89" s="40" t="s">
        <v>188</v>
      </c>
      <c r="C89" s="39">
        <v>73.95</v>
      </c>
      <c r="D89" s="29">
        <v>70.62</v>
      </c>
      <c r="E89" s="29">
        <v>64.94</v>
      </c>
      <c r="F89" s="28">
        <v>77.48</v>
      </c>
      <c r="G89" s="29">
        <v>81.010000000000005</v>
      </c>
      <c r="H89" s="29">
        <v>70.77</v>
      </c>
      <c r="I89" s="29">
        <v>71.73</v>
      </c>
      <c r="J89" s="28">
        <v>84.25</v>
      </c>
      <c r="K89" s="29">
        <v>76.36</v>
      </c>
      <c r="L89" s="29">
        <v>101.89</v>
      </c>
      <c r="M89" s="28">
        <v>69.16</v>
      </c>
      <c r="N89" s="46"/>
      <c r="O89" s="52"/>
      <c r="P89" s="53"/>
      <c r="Q89" s="53"/>
      <c r="R89" s="52"/>
      <c r="S89" s="52"/>
      <c r="T89" s="52"/>
      <c r="U89" s="52"/>
      <c r="V89" s="52"/>
    </row>
    <row r="90" spans="1:22" s="44" customFormat="1" x14ac:dyDescent="0.5">
      <c r="A90" s="43"/>
      <c r="B90" s="37" t="s">
        <v>174</v>
      </c>
      <c r="C90" s="42">
        <v>74.53</v>
      </c>
      <c r="D90" s="32">
        <v>70.69</v>
      </c>
      <c r="E90" s="32">
        <v>66.13</v>
      </c>
      <c r="F90" s="31">
        <v>78.150000000000006</v>
      </c>
      <c r="G90" s="32">
        <v>81.69</v>
      </c>
      <c r="H90" s="32">
        <v>70.739999999999995</v>
      </c>
      <c r="I90" s="32">
        <v>73.28</v>
      </c>
      <c r="J90" s="31">
        <v>85.09</v>
      </c>
      <c r="K90" s="32">
        <v>76.61</v>
      </c>
      <c r="L90" s="32">
        <v>104.54</v>
      </c>
      <c r="M90" s="31">
        <v>71.400000000000006</v>
      </c>
      <c r="N90" s="46"/>
      <c r="O90" s="52"/>
      <c r="P90" s="53"/>
      <c r="Q90" s="53"/>
      <c r="R90" s="52"/>
      <c r="S90" s="52"/>
      <c r="T90" s="52"/>
      <c r="U90" s="52"/>
      <c r="V90" s="52"/>
    </row>
    <row r="91" spans="1:22" s="44" customFormat="1" x14ac:dyDescent="0.5">
      <c r="A91" s="41"/>
      <c r="B91" s="40" t="s">
        <v>176</v>
      </c>
      <c r="C91" s="39">
        <v>75.2</v>
      </c>
      <c r="D91" s="29">
        <v>70.48</v>
      </c>
      <c r="E91" s="29">
        <v>70.180000000000007</v>
      </c>
      <c r="F91" s="28">
        <v>78.510000000000005</v>
      </c>
      <c r="G91" s="29">
        <v>82</v>
      </c>
      <c r="H91" s="29">
        <v>70.42</v>
      </c>
      <c r="I91" s="29">
        <v>76.39</v>
      </c>
      <c r="J91" s="28">
        <v>85.42</v>
      </c>
      <c r="K91" s="29">
        <v>77.02</v>
      </c>
      <c r="L91" s="29">
        <v>104.33</v>
      </c>
      <c r="M91" s="28">
        <v>73.27</v>
      </c>
      <c r="N91" s="46"/>
      <c r="O91" s="52"/>
      <c r="P91" s="53"/>
      <c r="Q91" s="53"/>
      <c r="R91" s="52"/>
      <c r="S91" s="52"/>
      <c r="T91" s="52"/>
      <c r="U91" s="52"/>
      <c r="V91" s="52"/>
    </row>
    <row r="92" spans="1:22" s="44" customFormat="1" x14ac:dyDescent="0.5">
      <c r="A92" s="43"/>
      <c r="B92" s="37" t="s">
        <v>179</v>
      </c>
      <c r="C92" s="42">
        <v>74.959999999999994</v>
      </c>
      <c r="D92" s="32">
        <v>71.17</v>
      </c>
      <c r="E92" s="32">
        <v>66.66</v>
      </c>
      <c r="F92" s="31">
        <v>78.540000000000006</v>
      </c>
      <c r="G92" s="32">
        <v>82</v>
      </c>
      <c r="H92" s="32">
        <v>71.31</v>
      </c>
      <c r="I92" s="32">
        <v>73.41</v>
      </c>
      <c r="J92" s="31">
        <v>85.32</v>
      </c>
      <c r="K92" s="32">
        <v>77.42</v>
      </c>
      <c r="L92" s="32">
        <v>102.45</v>
      </c>
      <c r="M92" s="31">
        <v>70.010000000000005</v>
      </c>
      <c r="N92" s="46"/>
      <c r="O92" s="52"/>
      <c r="P92" s="53"/>
      <c r="Q92" s="53"/>
      <c r="R92" s="52"/>
      <c r="S92" s="52"/>
      <c r="T92" s="52"/>
      <c r="U92" s="52"/>
      <c r="V92" s="52"/>
    </row>
    <row r="93" spans="1:22" s="44" customFormat="1" x14ac:dyDescent="0.5">
      <c r="A93" s="41"/>
      <c r="B93" s="40" t="s">
        <v>180</v>
      </c>
      <c r="C93" s="39">
        <v>74.69</v>
      </c>
      <c r="D93" s="29">
        <v>71.489999999999995</v>
      </c>
      <c r="E93" s="29">
        <v>62.2</v>
      </c>
      <c r="F93" s="28">
        <v>78.819999999999993</v>
      </c>
      <c r="G93" s="29">
        <v>82.19</v>
      </c>
      <c r="H93" s="29">
        <v>71.650000000000006</v>
      </c>
      <c r="I93" s="29">
        <v>68.19</v>
      </c>
      <c r="J93" s="28">
        <v>85.78</v>
      </c>
      <c r="K93" s="29">
        <v>77.55</v>
      </c>
      <c r="L93" s="29">
        <v>102.96</v>
      </c>
      <c r="M93" s="28">
        <v>67.87</v>
      </c>
      <c r="N93" s="46"/>
      <c r="O93" s="52"/>
      <c r="P93" s="53"/>
      <c r="Q93" s="53"/>
      <c r="R93" s="52"/>
      <c r="S93" s="52"/>
      <c r="T93" s="52"/>
      <c r="U93" s="52"/>
      <c r="V93" s="52"/>
    </row>
    <row r="94" spans="1:22" s="44" customFormat="1" x14ac:dyDescent="0.5">
      <c r="A94" s="43"/>
      <c r="B94" s="37" t="s">
        <v>181</v>
      </c>
      <c r="C94" s="42">
        <v>74.400000000000006</v>
      </c>
      <c r="D94" s="32">
        <v>71.38</v>
      </c>
      <c r="E94" s="32">
        <v>60.28</v>
      </c>
      <c r="F94" s="31">
        <v>78.760000000000005</v>
      </c>
      <c r="G94" s="32">
        <v>82.02</v>
      </c>
      <c r="H94" s="32">
        <v>71.56</v>
      </c>
      <c r="I94" s="32">
        <v>65.39</v>
      </c>
      <c r="J94" s="31">
        <v>85.75</v>
      </c>
      <c r="K94" s="32">
        <v>77.45</v>
      </c>
      <c r="L94" s="32">
        <v>102.51</v>
      </c>
      <c r="M94" s="31">
        <v>66.64</v>
      </c>
      <c r="N94" s="46"/>
      <c r="O94" s="52"/>
      <c r="P94" s="53"/>
      <c r="Q94" s="53"/>
      <c r="R94" s="52"/>
      <c r="S94" s="52"/>
      <c r="T94" s="52"/>
      <c r="U94" s="52"/>
      <c r="V94" s="52"/>
    </row>
    <row r="95" spans="1:22" s="44" customFormat="1" x14ac:dyDescent="0.5">
      <c r="A95" s="41"/>
      <c r="B95" s="40" t="s">
        <v>182</v>
      </c>
      <c r="C95" s="39">
        <v>74.08</v>
      </c>
      <c r="D95" s="29">
        <v>70.900000000000006</v>
      </c>
      <c r="E95" s="29">
        <v>58.64</v>
      </c>
      <c r="F95" s="28">
        <v>78.739999999999995</v>
      </c>
      <c r="G95" s="29">
        <v>81.819999999999993</v>
      </c>
      <c r="H95" s="29">
        <v>71.239999999999995</v>
      </c>
      <c r="I95" s="29">
        <v>64.52</v>
      </c>
      <c r="J95" s="28">
        <v>85.61</v>
      </c>
      <c r="K95" s="29">
        <v>77.45</v>
      </c>
      <c r="L95" s="29">
        <v>101.52</v>
      </c>
      <c r="M95" s="28">
        <v>64.790000000000006</v>
      </c>
      <c r="N95" s="46"/>
      <c r="O95" s="52"/>
      <c r="P95" s="53"/>
      <c r="Q95" s="53"/>
      <c r="R95" s="52"/>
      <c r="S95" s="52"/>
      <c r="T95" s="52"/>
      <c r="U95" s="52"/>
      <c r="V95" s="52"/>
    </row>
    <row r="96" spans="1:22" s="44" customFormat="1" x14ac:dyDescent="0.5">
      <c r="A96" s="43"/>
      <c r="B96" s="37" t="s">
        <v>183</v>
      </c>
      <c r="C96" s="42">
        <v>74.37</v>
      </c>
      <c r="D96" s="32">
        <v>70.67</v>
      </c>
      <c r="E96" s="32">
        <v>60.27</v>
      </c>
      <c r="F96" s="31">
        <v>78.97</v>
      </c>
      <c r="G96" s="32">
        <v>81.91</v>
      </c>
      <c r="H96" s="32">
        <v>71.08</v>
      </c>
      <c r="I96" s="32">
        <v>66.12</v>
      </c>
      <c r="J96" s="31">
        <v>85.69</v>
      </c>
      <c r="K96" s="32">
        <v>77.66</v>
      </c>
      <c r="L96" s="32">
        <v>100.85</v>
      </c>
      <c r="M96" s="31">
        <v>65.47</v>
      </c>
      <c r="N96" s="46"/>
      <c r="O96" s="52"/>
      <c r="P96" s="53"/>
      <c r="Q96" s="53"/>
      <c r="R96" s="52"/>
      <c r="S96" s="52"/>
      <c r="T96" s="52"/>
      <c r="U96" s="52"/>
      <c r="V96" s="52"/>
    </row>
    <row r="97" spans="1:22" s="44" customFormat="1" x14ac:dyDescent="0.5">
      <c r="A97" s="41">
        <v>2007</v>
      </c>
      <c r="B97" s="40" t="s">
        <v>184</v>
      </c>
      <c r="C97" s="39">
        <v>74.72</v>
      </c>
      <c r="D97" s="29">
        <v>70.709999999999994</v>
      </c>
      <c r="E97" s="29">
        <v>60.31</v>
      </c>
      <c r="F97" s="28">
        <v>79.489999999999995</v>
      </c>
      <c r="G97" s="29">
        <v>82.07</v>
      </c>
      <c r="H97" s="29">
        <v>70.709999999999994</v>
      </c>
      <c r="I97" s="29">
        <v>66.23</v>
      </c>
      <c r="J97" s="28">
        <v>85.99</v>
      </c>
      <c r="K97" s="29">
        <v>78.010000000000005</v>
      </c>
      <c r="L97" s="29">
        <v>100.17</v>
      </c>
      <c r="M97" s="28">
        <v>65.83</v>
      </c>
      <c r="N97" s="16">
        <f>(C97-C85)/C85</f>
        <v>5.8806858438430011E-2</v>
      </c>
      <c r="O97" s="14"/>
      <c r="P97" s="53"/>
      <c r="Q97" s="53"/>
      <c r="R97" s="52"/>
      <c r="S97" s="52"/>
      <c r="T97" s="52"/>
      <c r="U97" s="52"/>
      <c r="V97" s="52"/>
    </row>
    <row r="98" spans="1:22" s="44" customFormat="1" x14ac:dyDescent="0.5">
      <c r="A98" s="43"/>
      <c r="B98" s="37" t="s">
        <v>185</v>
      </c>
      <c r="C98" s="42">
        <v>74.790000000000006</v>
      </c>
      <c r="D98" s="32">
        <v>71.7</v>
      </c>
      <c r="E98" s="32">
        <v>60.06</v>
      </c>
      <c r="F98" s="31">
        <v>79.39</v>
      </c>
      <c r="G98" s="32">
        <v>82.18</v>
      </c>
      <c r="H98" s="32">
        <v>71.75</v>
      </c>
      <c r="I98" s="32">
        <v>65.989999999999995</v>
      </c>
      <c r="J98" s="31">
        <v>85.9</v>
      </c>
      <c r="K98" s="32">
        <v>78.19</v>
      </c>
      <c r="L98" s="32">
        <v>99.97</v>
      </c>
      <c r="M98" s="31">
        <v>65.599999999999994</v>
      </c>
      <c r="N98" s="46"/>
      <c r="O98" s="52"/>
      <c r="P98" s="53"/>
      <c r="Q98" s="53"/>
      <c r="R98" s="52"/>
      <c r="S98" s="52"/>
      <c r="T98" s="52"/>
      <c r="U98" s="52"/>
      <c r="V98" s="52"/>
    </row>
    <row r="99" spans="1:22" s="44" customFormat="1" x14ac:dyDescent="0.5">
      <c r="A99" s="41"/>
      <c r="B99" s="40" t="s">
        <v>186</v>
      </c>
      <c r="C99" s="39">
        <v>74.98</v>
      </c>
      <c r="D99" s="29">
        <v>73.39</v>
      </c>
      <c r="E99" s="29">
        <v>59.5</v>
      </c>
      <c r="F99" s="28">
        <v>79.37</v>
      </c>
      <c r="G99" s="29">
        <v>82.41</v>
      </c>
      <c r="H99" s="29">
        <v>73.599999999999994</v>
      </c>
      <c r="I99" s="29">
        <v>65.739999999999995</v>
      </c>
      <c r="J99" s="28">
        <v>85.76</v>
      </c>
      <c r="K99" s="29">
        <v>78.73</v>
      </c>
      <c r="L99" s="29">
        <v>98.81</v>
      </c>
      <c r="M99" s="28">
        <v>64.84</v>
      </c>
      <c r="N99" s="46"/>
      <c r="O99" s="52"/>
      <c r="P99" s="53"/>
      <c r="Q99" s="53"/>
      <c r="R99" s="52"/>
      <c r="S99" s="52"/>
      <c r="T99" s="52"/>
      <c r="U99" s="52"/>
      <c r="V99" s="52"/>
    </row>
    <row r="100" spans="1:22" s="44" customFormat="1" x14ac:dyDescent="0.5">
      <c r="A100" s="43"/>
      <c r="B100" s="37" t="s">
        <v>187</v>
      </c>
      <c r="C100" s="42">
        <v>74.94</v>
      </c>
      <c r="D100" s="32">
        <v>74.66</v>
      </c>
      <c r="E100" s="32">
        <v>58.68</v>
      </c>
      <c r="F100" s="31">
        <v>79.17</v>
      </c>
      <c r="G100" s="32">
        <v>82.28</v>
      </c>
      <c r="H100" s="32">
        <v>74.540000000000006</v>
      </c>
      <c r="I100" s="32">
        <v>65.819999999999993</v>
      </c>
      <c r="J100" s="31">
        <v>85.36</v>
      </c>
      <c r="K100" s="32">
        <v>79.19</v>
      </c>
      <c r="L100" s="32">
        <v>96.05</v>
      </c>
      <c r="M100" s="31">
        <v>63.44</v>
      </c>
      <c r="N100" s="46"/>
      <c r="O100" s="52"/>
      <c r="P100" s="53"/>
      <c r="Q100" s="53"/>
      <c r="R100" s="52"/>
      <c r="S100" s="52"/>
      <c r="T100" s="52"/>
      <c r="U100" s="52"/>
      <c r="V100" s="52"/>
    </row>
    <row r="101" spans="1:22" s="44" customFormat="1" x14ac:dyDescent="0.5">
      <c r="A101" s="41"/>
      <c r="B101" s="40" t="s">
        <v>188</v>
      </c>
      <c r="C101" s="39">
        <v>74.37</v>
      </c>
      <c r="D101" s="29">
        <v>74.010000000000005</v>
      </c>
      <c r="E101" s="29">
        <v>58.28</v>
      </c>
      <c r="F101" s="28">
        <v>78.58</v>
      </c>
      <c r="G101" s="29">
        <v>81.53</v>
      </c>
      <c r="H101" s="29">
        <v>74.11</v>
      </c>
      <c r="I101" s="29">
        <v>69.209999999999994</v>
      </c>
      <c r="J101" s="28">
        <v>84.23</v>
      </c>
      <c r="K101" s="29">
        <v>79.67</v>
      </c>
      <c r="L101" s="29">
        <v>89.83</v>
      </c>
      <c r="M101" s="28">
        <v>60.05</v>
      </c>
      <c r="N101" s="46"/>
      <c r="O101" s="52"/>
      <c r="P101" s="53"/>
      <c r="Q101" s="53"/>
      <c r="R101" s="52"/>
      <c r="S101" s="52"/>
      <c r="T101" s="52"/>
      <c r="U101" s="52"/>
      <c r="V101" s="52"/>
    </row>
    <row r="102" spans="1:22" s="44" customFormat="1" x14ac:dyDescent="0.5">
      <c r="A102" s="43"/>
      <c r="B102" s="37" t="s">
        <v>174</v>
      </c>
      <c r="C102" s="42">
        <v>73.88</v>
      </c>
      <c r="D102" s="32">
        <v>73.150000000000006</v>
      </c>
      <c r="E102" s="32">
        <v>58.62</v>
      </c>
      <c r="F102" s="31">
        <v>77.98</v>
      </c>
      <c r="G102" s="32">
        <v>80.87</v>
      </c>
      <c r="H102" s="32">
        <v>73.31</v>
      </c>
      <c r="I102" s="32">
        <v>73.84</v>
      </c>
      <c r="J102" s="31">
        <v>83.22</v>
      </c>
      <c r="K102" s="32">
        <v>79.78</v>
      </c>
      <c r="L102" s="32">
        <v>85.71</v>
      </c>
      <c r="M102" s="31">
        <v>57.92</v>
      </c>
      <c r="N102" s="46"/>
      <c r="O102" s="52"/>
      <c r="P102" s="53"/>
      <c r="Q102" s="53"/>
      <c r="R102" s="52"/>
      <c r="S102" s="52"/>
      <c r="T102" s="52"/>
      <c r="U102" s="52"/>
      <c r="V102" s="52"/>
    </row>
    <row r="103" spans="1:22" s="44" customFormat="1" x14ac:dyDescent="0.5">
      <c r="A103" s="41"/>
      <c r="B103" s="40" t="s">
        <v>176</v>
      </c>
      <c r="C103" s="39">
        <v>74.09</v>
      </c>
      <c r="D103" s="29">
        <v>72.66</v>
      </c>
      <c r="E103" s="29">
        <v>60.54</v>
      </c>
      <c r="F103" s="28">
        <v>77.94</v>
      </c>
      <c r="G103" s="29">
        <v>80.48</v>
      </c>
      <c r="H103" s="29">
        <v>72.64</v>
      </c>
      <c r="I103" s="29">
        <v>69.28</v>
      </c>
      <c r="J103" s="28">
        <v>83.2</v>
      </c>
      <c r="K103" s="29">
        <v>79.209999999999994</v>
      </c>
      <c r="L103" s="29">
        <v>86.14</v>
      </c>
      <c r="M103" s="28">
        <v>60.25</v>
      </c>
      <c r="N103" s="46"/>
      <c r="O103" s="52"/>
      <c r="P103" s="53"/>
      <c r="Q103" s="53"/>
      <c r="R103" s="52"/>
      <c r="S103" s="52"/>
      <c r="T103" s="52"/>
      <c r="U103" s="52"/>
      <c r="V103" s="52"/>
    </row>
    <row r="104" spans="1:22" s="44" customFormat="1" x14ac:dyDescent="0.5">
      <c r="A104" s="43"/>
      <c r="B104" s="37" t="s">
        <v>179</v>
      </c>
      <c r="C104" s="42">
        <v>74.97</v>
      </c>
      <c r="D104" s="32">
        <v>72.63</v>
      </c>
      <c r="E104" s="32">
        <v>63.94</v>
      </c>
      <c r="F104" s="31">
        <v>78.430000000000007</v>
      </c>
      <c r="G104" s="32">
        <v>80.66</v>
      </c>
      <c r="H104" s="32">
        <v>72.53</v>
      </c>
      <c r="I104" s="32">
        <v>65.41</v>
      </c>
      <c r="J104" s="31">
        <v>83.74</v>
      </c>
      <c r="K104" s="32">
        <v>78.989999999999995</v>
      </c>
      <c r="L104" s="32">
        <v>88.1</v>
      </c>
      <c r="M104" s="31">
        <v>64.14</v>
      </c>
      <c r="N104" s="46"/>
      <c r="O104" s="52"/>
      <c r="P104" s="53"/>
      <c r="Q104" s="53"/>
      <c r="R104" s="52"/>
      <c r="S104" s="52"/>
      <c r="T104" s="52"/>
      <c r="U104" s="52"/>
      <c r="V104" s="52"/>
    </row>
    <row r="105" spans="1:22" s="44" customFormat="1" x14ac:dyDescent="0.5">
      <c r="A105" s="41"/>
      <c r="B105" s="40" t="s">
        <v>180</v>
      </c>
      <c r="C105" s="39">
        <v>75.91</v>
      </c>
      <c r="D105" s="29">
        <v>72.34</v>
      </c>
      <c r="E105" s="29">
        <v>68.010000000000005</v>
      </c>
      <c r="F105" s="28">
        <v>78.88</v>
      </c>
      <c r="G105" s="29">
        <v>81.44</v>
      </c>
      <c r="H105" s="29">
        <v>72.41</v>
      </c>
      <c r="I105" s="29">
        <v>74.05</v>
      </c>
      <c r="J105" s="28">
        <v>84.19</v>
      </c>
      <c r="K105" s="29">
        <v>79.540000000000006</v>
      </c>
      <c r="L105" s="29">
        <v>89.89</v>
      </c>
      <c r="M105" s="28">
        <v>66.09</v>
      </c>
      <c r="N105" s="46"/>
      <c r="O105" s="52"/>
      <c r="P105" s="53"/>
      <c r="Q105" s="53"/>
      <c r="R105" s="52"/>
      <c r="S105" s="52"/>
      <c r="T105" s="52"/>
      <c r="U105" s="52"/>
      <c r="V105" s="52"/>
    </row>
    <row r="106" spans="1:22" s="44" customFormat="1" x14ac:dyDescent="0.5">
      <c r="A106" s="43"/>
      <c r="B106" s="37" t="s">
        <v>181</v>
      </c>
      <c r="C106" s="42">
        <v>75.83</v>
      </c>
      <c r="D106" s="32">
        <v>71.849999999999994</v>
      </c>
      <c r="E106" s="32">
        <v>68.790000000000006</v>
      </c>
      <c r="F106" s="31">
        <v>78.7</v>
      </c>
      <c r="G106" s="32">
        <v>81.53</v>
      </c>
      <c r="H106" s="32">
        <v>72.42</v>
      </c>
      <c r="I106" s="32">
        <v>79.25</v>
      </c>
      <c r="J106" s="31">
        <v>83.92</v>
      </c>
      <c r="K106" s="32">
        <v>80.02</v>
      </c>
      <c r="L106" s="32">
        <v>88.28</v>
      </c>
      <c r="M106" s="31">
        <v>64.52</v>
      </c>
      <c r="N106" s="46"/>
      <c r="O106" s="52"/>
      <c r="P106" s="53"/>
      <c r="Q106" s="53"/>
      <c r="R106" s="52"/>
      <c r="S106" s="52"/>
      <c r="T106" s="52"/>
      <c r="U106" s="52"/>
      <c r="V106" s="52"/>
    </row>
    <row r="107" spans="1:22" s="44" customFormat="1" x14ac:dyDescent="0.5">
      <c r="A107" s="41"/>
      <c r="B107" s="40" t="s">
        <v>182</v>
      </c>
      <c r="C107" s="39">
        <v>77.010000000000005</v>
      </c>
      <c r="D107" s="29">
        <v>72.040000000000006</v>
      </c>
      <c r="E107" s="29">
        <v>74</v>
      </c>
      <c r="F107" s="28">
        <v>79.12</v>
      </c>
      <c r="G107" s="29">
        <v>82.14</v>
      </c>
      <c r="H107" s="29">
        <v>72.5</v>
      </c>
      <c r="I107" s="29">
        <v>85.06</v>
      </c>
      <c r="J107" s="28">
        <v>84.29</v>
      </c>
      <c r="K107" s="29">
        <v>80.55</v>
      </c>
      <c r="L107" s="29">
        <v>89.26</v>
      </c>
      <c r="M107" s="28">
        <v>67.459999999999994</v>
      </c>
      <c r="N107" s="46"/>
      <c r="O107" s="52"/>
      <c r="P107" s="53"/>
      <c r="Q107" s="53"/>
      <c r="R107" s="52"/>
      <c r="S107" s="52"/>
      <c r="T107" s="52"/>
      <c r="U107" s="52"/>
      <c r="V107" s="52"/>
    </row>
    <row r="108" spans="1:22" s="44" customFormat="1" x14ac:dyDescent="0.5">
      <c r="A108" s="43"/>
      <c r="B108" s="37" t="s">
        <v>183</v>
      </c>
      <c r="C108" s="42">
        <v>77.92</v>
      </c>
      <c r="D108" s="32">
        <v>72.81</v>
      </c>
      <c r="E108" s="32">
        <v>77.709999999999994</v>
      </c>
      <c r="F108" s="31">
        <v>79.349999999999994</v>
      </c>
      <c r="G108" s="32">
        <v>82.95</v>
      </c>
      <c r="H108" s="32">
        <v>73.5</v>
      </c>
      <c r="I108" s="32">
        <v>93.53</v>
      </c>
      <c r="J108" s="31">
        <v>84.51</v>
      </c>
      <c r="K108" s="32">
        <v>81.58</v>
      </c>
      <c r="L108" s="32">
        <v>89.07</v>
      </c>
      <c r="M108" s="31">
        <v>68.06</v>
      </c>
      <c r="N108" s="46"/>
      <c r="O108" s="52"/>
      <c r="P108" s="53"/>
      <c r="Q108" s="53"/>
      <c r="R108" s="52"/>
      <c r="S108" s="52"/>
      <c r="T108" s="52"/>
      <c r="U108" s="52"/>
      <c r="V108" s="52"/>
    </row>
    <row r="109" spans="1:22" s="44" customFormat="1" x14ac:dyDescent="0.5">
      <c r="A109" s="41">
        <v>2008</v>
      </c>
      <c r="B109" s="40" t="s">
        <v>184</v>
      </c>
      <c r="C109" s="39">
        <v>79.010000000000005</v>
      </c>
      <c r="D109" s="29">
        <v>74.760000000000005</v>
      </c>
      <c r="E109" s="29">
        <v>78.47</v>
      </c>
      <c r="F109" s="28">
        <v>80.290000000000006</v>
      </c>
      <c r="G109" s="29">
        <v>83.91</v>
      </c>
      <c r="H109" s="29">
        <v>75.25</v>
      </c>
      <c r="I109" s="29">
        <v>94.44</v>
      </c>
      <c r="J109" s="28">
        <v>85.28</v>
      </c>
      <c r="K109" s="29">
        <v>82.73</v>
      </c>
      <c r="L109" s="29">
        <v>89.22</v>
      </c>
      <c r="M109" s="28">
        <v>68.98</v>
      </c>
      <c r="N109" s="16">
        <f>(C109-C97)/C97</f>
        <v>5.7414346895075033E-2</v>
      </c>
      <c r="O109" s="14"/>
      <c r="P109" s="53"/>
      <c r="Q109" s="53"/>
      <c r="R109" s="52"/>
      <c r="S109" s="52"/>
      <c r="T109" s="52"/>
      <c r="U109" s="52"/>
      <c r="V109" s="52"/>
    </row>
    <row r="110" spans="1:22" s="44" customFormat="1" x14ac:dyDescent="0.5">
      <c r="A110" s="43"/>
      <c r="B110" s="37" t="s">
        <v>185</v>
      </c>
      <c r="C110" s="42">
        <v>79.92</v>
      </c>
      <c r="D110" s="32">
        <v>78.37</v>
      </c>
      <c r="E110" s="32">
        <v>77.09</v>
      </c>
      <c r="F110" s="31">
        <v>81.069999999999993</v>
      </c>
      <c r="G110" s="32">
        <v>85.38</v>
      </c>
      <c r="H110" s="32">
        <v>79.150000000000006</v>
      </c>
      <c r="I110" s="32">
        <v>94.87</v>
      </c>
      <c r="J110" s="31">
        <v>86.21</v>
      </c>
      <c r="K110" s="32">
        <v>84.64</v>
      </c>
      <c r="L110" s="32">
        <v>88.67</v>
      </c>
      <c r="M110" s="31">
        <v>67.2</v>
      </c>
      <c r="N110" s="46"/>
      <c r="O110" s="52"/>
      <c r="P110" s="53"/>
      <c r="Q110" s="53"/>
      <c r="R110" s="52"/>
      <c r="S110" s="52"/>
      <c r="T110" s="52"/>
      <c r="U110" s="52"/>
      <c r="V110" s="52"/>
    </row>
    <row r="111" spans="1:22" s="44" customFormat="1" x14ac:dyDescent="0.5">
      <c r="A111" s="41"/>
      <c r="B111" s="40" t="s">
        <v>186</v>
      </c>
      <c r="C111" s="39">
        <v>79.69</v>
      </c>
      <c r="D111" s="29">
        <v>73.5</v>
      </c>
      <c r="E111" s="29">
        <v>76.75</v>
      </c>
      <c r="F111" s="28">
        <v>82.11</v>
      </c>
      <c r="G111" s="29">
        <v>85.18</v>
      </c>
      <c r="H111" s="29">
        <v>74.88</v>
      </c>
      <c r="I111" s="29">
        <v>95.02</v>
      </c>
      <c r="J111" s="28">
        <v>86.99</v>
      </c>
      <c r="K111" s="29">
        <v>84.47</v>
      </c>
      <c r="L111" s="29">
        <v>88.32</v>
      </c>
      <c r="M111" s="28">
        <v>66.790000000000006</v>
      </c>
      <c r="N111" s="46"/>
      <c r="O111" s="52"/>
      <c r="P111" s="53"/>
      <c r="Q111" s="53"/>
      <c r="R111" s="52"/>
      <c r="S111" s="52"/>
      <c r="T111" s="52"/>
      <c r="U111" s="52"/>
      <c r="V111" s="52"/>
    </row>
    <row r="112" spans="1:22" s="44" customFormat="1" x14ac:dyDescent="0.5">
      <c r="A112" s="43"/>
      <c r="B112" s="37" t="s">
        <v>187</v>
      </c>
      <c r="C112" s="42">
        <v>80</v>
      </c>
      <c r="D112" s="32">
        <v>73.52</v>
      </c>
      <c r="E112" s="32">
        <v>78.180000000000007</v>
      </c>
      <c r="F112" s="31">
        <v>82.2</v>
      </c>
      <c r="G112" s="32">
        <v>85.38</v>
      </c>
      <c r="H112" s="32">
        <v>74.989999999999995</v>
      </c>
      <c r="I112" s="32">
        <v>94.88</v>
      </c>
      <c r="J112" s="31">
        <v>87.25</v>
      </c>
      <c r="K112" s="32">
        <v>84.75</v>
      </c>
      <c r="L112" s="32">
        <v>88.2</v>
      </c>
      <c r="M112" s="31">
        <v>67.17</v>
      </c>
      <c r="N112" s="46"/>
      <c r="O112" s="52"/>
      <c r="P112" s="53"/>
      <c r="Q112" s="53"/>
      <c r="R112" s="52"/>
      <c r="S112" s="52"/>
      <c r="T112" s="52"/>
      <c r="U112" s="52"/>
      <c r="V112" s="52"/>
    </row>
    <row r="113" spans="1:22" s="44" customFormat="1" x14ac:dyDescent="0.5">
      <c r="A113" s="41"/>
      <c r="B113" s="40" t="s">
        <v>188</v>
      </c>
      <c r="C113" s="39">
        <v>81.12</v>
      </c>
      <c r="D113" s="29">
        <v>74.89</v>
      </c>
      <c r="E113" s="29">
        <v>81.8</v>
      </c>
      <c r="F113" s="28">
        <v>82.61</v>
      </c>
      <c r="G113" s="29">
        <v>85.93</v>
      </c>
      <c r="H113" s="29">
        <v>75.81</v>
      </c>
      <c r="I113" s="29">
        <v>98.21</v>
      </c>
      <c r="J113" s="28">
        <v>87.52</v>
      </c>
      <c r="K113" s="29">
        <v>85.55</v>
      </c>
      <c r="L113" s="29">
        <v>87.6</v>
      </c>
      <c r="M113" s="28">
        <v>69.14</v>
      </c>
      <c r="N113" s="46"/>
      <c r="O113" s="52"/>
      <c r="P113" s="53"/>
      <c r="Q113" s="53"/>
      <c r="R113" s="52"/>
      <c r="S113" s="52"/>
      <c r="T113" s="52"/>
      <c r="U113" s="52"/>
      <c r="V113" s="52"/>
    </row>
    <row r="114" spans="1:22" s="44" customFormat="1" x14ac:dyDescent="0.5">
      <c r="A114" s="43"/>
      <c r="B114" s="37" t="s">
        <v>174</v>
      </c>
      <c r="C114" s="42">
        <v>82.26</v>
      </c>
      <c r="D114" s="32">
        <v>77.83</v>
      </c>
      <c r="E114" s="32">
        <v>83.77</v>
      </c>
      <c r="F114" s="31">
        <v>83.07</v>
      </c>
      <c r="G114" s="32">
        <v>87.31</v>
      </c>
      <c r="H114" s="32">
        <v>79.38</v>
      </c>
      <c r="I114" s="32">
        <v>106.82</v>
      </c>
      <c r="J114" s="31">
        <v>87.86</v>
      </c>
      <c r="K114" s="32">
        <v>87.43</v>
      </c>
      <c r="L114" s="32">
        <v>86.77</v>
      </c>
      <c r="M114" s="31">
        <v>68.3</v>
      </c>
      <c r="N114" s="46"/>
      <c r="O114" s="52"/>
      <c r="P114" s="53"/>
      <c r="Q114" s="53"/>
      <c r="R114" s="52"/>
      <c r="S114" s="52"/>
      <c r="T114" s="52"/>
      <c r="U114" s="52"/>
      <c r="V114" s="52"/>
    </row>
    <row r="115" spans="1:22" s="44" customFormat="1" x14ac:dyDescent="0.5">
      <c r="A115" s="41"/>
      <c r="B115" s="40" t="s">
        <v>176</v>
      </c>
      <c r="C115" s="39">
        <v>84.91</v>
      </c>
      <c r="D115" s="29">
        <v>78.989999999999995</v>
      </c>
      <c r="E115" s="29">
        <v>94.88</v>
      </c>
      <c r="F115" s="28">
        <v>83.95</v>
      </c>
      <c r="G115" s="29">
        <v>88.21</v>
      </c>
      <c r="H115" s="29">
        <v>80.489999999999995</v>
      </c>
      <c r="I115" s="29">
        <v>109.95</v>
      </c>
      <c r="J115" s="28">
        <v>88.53</v>
      </c>
      <c r="K115" s="29">
        <v>88.14</v>
      </c>
      <c r="L115" s="29">
        <v>88.51</v>
      </c>
      <c r="M115" s="28">
        <v>76.19</v>
      </c>
      <c r="N115" s="46"/>
      <c r="O115" s="52"/>
      <c r="P115" s="53"/>
      <c r="Q115" s="53"/>
      <c r="R115" s="52"/>
      <c r="S115" s="52"/>
      <c r="T115" s="52"/>
      <c r="U115" s="52"/>
      <c r="V115" s="52"/>
    </row>
    <row r="116" spans="1:22" s="44" customFormat="1" x14ac:dyDescent="0.5">
      <c r="A116" s="43"/>
      <c r="B116" s="37" t="s">
        <v>179</v>
      </c>
      <c r="C116" s="42">
        <v>84.8</v>
      </c>
      <c r="D116" s="32">
        <v>76.569999999999993</v>
      </c>
      <c r="E116" s="32">
        <v>96.94</v>
      </c>
      <c r="F116" s="31">
        <v>83.9</v>
      </c>
      <c r="G116" s="32">
        <v>87.92</v>
      </c>
      <c r="H116" s="32">
        <v>77.849999999999994</v>
      </c>
      <c r="I116" s="32">
        <v>111.4</v>
      </c>
      <c r="J116" s="31">
        <v>88.71</v>
      </c>
      <c r="K116" s="32">
        <v>87.4</v>
      </c>
      <c r="L116" s="32">
        <v>90.21</v>
      </c>
      <c r="M116" s="31">
        <v>77.760000000000005</v>
      </c>
      <c r="N116" s="46"/>
      <c r="O116" s="52"/>
      <c r="P116" s="53"/>
      <c r="Q116" s="53"/>
      <c r="R116" s="52"/>
      <c r="S116" s="52"/>
      <c r="T116" s="52"/>
      <c r="U116" s="52"/>
      <c r="V116" s="52"/>
    </row>
    <row r="117" spans="1:22" s="44" customFormat="1" x14ac:dyDescent="0.5">
      <c r="A117" s="41"/>
      <c r="B117" s="40" t="s">
        <v>180</v>
      </c>
      <c r="C117" s="39">
        <v>86.99</v>
      </c>
      <c r="D117" s="29">
        <v>77.680000000000007</v>
      </c>
      <c r="E117" s="29">
        <v>102.95</v>
      </c>
      <c r="F117" s="28">
        <v>85.41</v>
      </c>
      <c r="G117" s="29">
        <v>89.41</v>
      </c>
      <c r="H117" s="29">
        <v>78.44</v>
      </c>
      <c r="I117" s="29">
        <v>115.23</v>
      </c>
      <c r="J117" s="28">
        <v>90.24</v>
      </c>
      <c r="K117" s="29">
        <v>88.23</v>
      </c>
      <c r="L117" s="29">
        <v>94.66</v>
      </c>
      <c r="M117" s="28">
        <v>83.66</v>
      </c>
      <c r="N117" s="46"/>
      <c r="O117" s="52"/>
      <c r="P117" s="53"/>
      <c r="Q117" s="53"/>
      <c r="R117" s="52"/>
      <c r="S117" s="52"/>
      <c r="T117" s="52"/>
      <c r="U117" s="52"/>
      <c r="V117" s="52"/>
    </row>
    <row r="118" spans="1:22" s="44" customFormat="1" x14ac:dyDescent="0.5">
      <c r="A118" s="43"/>
      <c r="B118" s="37" t="s">
        <v>181</v>
      </c>
      <c r="C118" s="42">
        <v>88.36</v>
      </c>
      <c r="D118" s="32">
        <v>79.84</v>
      </c>
      <c r="E118" s="32">
        <v>101.1</v>
      </c>
      <c r="F118" s="31">
        <v>87.38</v>
      </c>
      <c r="G118" s="32">
        <v>91.16</v>
      </c>
      <c r="H118" s="32">
        <v>79.7</v>
      </c>
      <c r="I118" s="32">
        <v>116.55</v>
      </c>
      <c r="J118" s="31">
        <v>92.14</v>
      </c>
      <c r="K118" s="32">
        <v>89.5</v>
      </c>
      <c r="L118" s="32">
        <v>98.57</v>
      </c>
      <c r="M118" s="31">
        <v>85.28</v>
      </c>
      <c r="N118" s="46"/>
      <c r="O118" s="52"/>
      <c r="P118" s="53"/>
      <c r="Q118" s="53"/>
      <c r="R118" s="52"/>
      <c r="S118" s="52"/>
      <c r="T118" s="52"/>
      <c r="U118" s="52"/>
      <c r="V118" s="52"/>
    </row>
    <row r="119" spans="1:22" s="44" customFormat="1" x14ac:dyDescent="0.5">
      <c r="A119" s="41"/>
      <c r="B119" s="40" t="s">
        <v>182</v>
      </c>
      <c r="C119" s="39">
        <v>87.42</v>
      </c>
      <c r="D119" s="29">
        <v>79.8</v>
      </c>
      <c r="E119" s="29">
        <v>94.26</v>
      </c>
      <c r="F119" s="28">
        <v>87.72</v>
      </c>
      <c r="G119" s="29">
        <v>91.14</v>
      </c>
      <c r="H119" s="29">
        <v>79.540000000000006</v>
      </c>
      <c r="I119" s="29">
        <v>111.13</v>
      </c>
      <c r="J119" s="28">
        <v>92.54</v>
      </c>
      <c r="K119" s="29">
        <v>89.35</v>
      </c>
      <c r="L119" s="29">
        <v>99.06</v>
      </c>
      <c r="M119" s="28">
        <v>82.21</v>
      </c>
      <c r="N119" s="46"/>
      <c r="O119" s="52"/>
      <c r="P119" s="53"/>
      <c r="Q119" s="53"/>
      <c r="R119" s="52"/>
      <c r="S119" s="52"/>
      <c r="T119" s="52"/>
      <c r="U119" s="52"/>
      <c r="V119" s="52"/>
    </row>
    <row r="120" spans="1:22" s="44" customFormat="1" x14ac:dyDescent="0.5">
      <c r="A120" s="43"/>
      <c r="B120" s="37" t="s">
        <v>183</v>
      </c>
      <c r="C120" s="42">
        <v>84.5</v>
      </c>
      <c r="D120" s="32">
        <v>80.400000000000006</v>
      </c>
      <c r="E120" s="32">
        <v>78.760000000000005</v>
      </c>
      <c r="F120" s="31">
        <v>87.08</v>
      </c>
      <c r="G120" s="32">
        <v>90.41</v>
      </c>
      <c r="H120" s="32">
        <v>80.22</v>
      </c>
      <c r="I120" s="32">
        <v>104.27</v>
      </c>
      <c r="J120" s="31">
        <v>91.91</v>
      </c>
      <c r="K120" s="32">
        <v>88.77</v>
      </c>
      <c r="L120" s="32">
        <v>97.71</v>
      </c>
      <c r="M120" s="31">
        <v>72.97</v>
      </c>
      <c r="N120" s="46"/>
      <c r="O120" s="52"/>
      <c r="P120" s="53"/>
      <c r="Q120" s="53"/>
      <c r="R120" s="52"/>
      <c r="S120" s="52"/>
      <c r="T120" s="52"/>
      <c r="U120" s="52"/>
      <c r="V120" s="52"/>
    </row>
    <row r="121" spans="1:22" s="44" customFormat="1" x14ac:dyDescent="0.5">
      <c r="A121" s="41">
        <v>2009</v>
      </c>
      <c r="B121" s="40" t="s">
        <v>184</v>
      </c>
      <c r="C121" s="39">
        <v>82.22</v>
      </c>
      <c r="D121" s="29">
        <v>82.13</v>
      </c>
      <c r="E121" s="29">
        <v>63.38</v>
      </c>
      <c r="F121" s="28">
        <v>87.07</v>
      </c>
      <c r="G121" s="29">
        <v>89.09</v>
      </c>
      <c r="H121" s="29">
        <v>81.48</v>
      </c>
      <c r="I121" s="29">
        <v>78.989999999999995</v>
      </c>
      <c r="J121" s="28">
        <v>91.68</v>
      </c>
      <c r="K121" s="29">
        <v>87.4</v>
      </c>
      <c r="L121" s="29">
        <v>96.62</v>
      </c>
      <c r="M121" s="28">
        <v>68.23</v>
      </c>
      <c r="N121" s="16">
        <f>(C121-C109)/C109</f>
        <v>4.0627768636881327E-2</v>
      </c>
      <c r="O121" s="14"/>
      <c r="P121" s="53"/>
      <c r="Q121" s="53"/>
      <c r="R121" s="52"/>
      <c r="S121" s="52"/>
      <c r="T121" s="52"/>
      <c r="U121" s="52"/>
      <c r="V121" s="52"/>
    </row>
    <row r="122" spans="1:22" s="44" customFormat="1" x14ac:dyDescent="0.5">
      <c r="A122" s="43"/>
      <c r="B122" s="37" t="s">
        <v>185</v>
      </c>
      <c r="C122" s="42">
        <v>85.18</v>
      </c>
      <c r="D122" s="32">
        <v>85.39</v>
      </c>
      <c r="E122" s="32">
        <v>71.59</v>
      </c>
      <c r="F122" s="31">
        <v>88.6</v>
      </c>
      <c r="G122" s="32">
        <v>90.69</v>
      </c>
      <c r="H122" s="32">
        <v>82.5</v>
      </c>
      <c r="I122" s="32">
        <v>88.62</v>
      </c>
      <c r="J122" s="31">
        <v>92.84</v>
      </c>
      <c r="K122" s="32">
        <v>88.61</v>
      </c>
      <c r="L122" s="32">
        <v>99.99</v>
      </c>
      <c r="M122" s="31">
        <v>75.930000000000007</v>
      </c>
      <c r="N122" s="46"/>
      <c r="O122" s="52"/>
      <c r="P122" s="53"/>
      <c r="Q122" s="53"/>
      <c r="R122" s="52"/>
      <c r="S122" s="52"/>
      <c r="T122" s="52"/>
      <c r="U122" s="52"/>
      <c r="V122" s="52"/>
    </row>
    <row r="123" spans="1:22" s="44" customFormat="1" x14ac:dyDescent="0.5">
      <c r="A123" s="41"/>
      <c r="B123" s="40" t="s">
        <v>186</v>
      </c>
      <c r="C123" s="39">
        <v>85.29</v>
      </c>
      <c r="D123" s="29">
        <v>87.66</v>
      </c>
      <c r="E123" s="29">
        <v>68.97</v>
      </c>
      <c r="F123" s="28">
        <v>88.82</v>
      </c>
      <c r="G123" s="29">
        <v>90.97</v>
      </c>
      <c r="H123" s="29">
        <v>85.67</v>
      </c>
      <c r="I123" s="29">
        <v>81.099999999999994</v>
      </c>
      <c r="J123" s="28">
        <v>92.97</v>
      </c>
      <c r="K123" s="29">
        <v>88.91</v>
      </c>
      <c r="L123" s="29">
        <v>100.14</v>
      </c>
      <c r="M123" s="28">
        <v>75.489999999999995</v>
      </c>
      <c r="N123" s="46"/>
      <c r="O123" s="52"/>
      <c r="P123" s="53"/>
      <c r="Q123" s="53"/>
      <c r="R123" s="52"/>
      <c r="S123" s="52"/>
      <c r="T123" s="52"/>
      <c r="U123" s="52"/>
      <c r="V123" s="52"/>
    </row>
    <row r="124" spans="1:22" s="44" customFormat="1" x14ac:dyDescent="0.5">
      <c r="A124" s="43"/>
      <c r="B124" s="37" t="s">
        <v>187</v>
      </c>
      <c r="C124" s="42">
        <v>86.81</v>
      </c>
      <c r="D124" s="32">
        <v>89.24</v>
      </c>
      <c r="E124" s="32">
        <v>76.05</v>
      </c>
      <c r="F124" s="31">
        <v>88.91</v>
      </c>
      <c r="G124" s="32">
        <v>90.98</v>
      </c>
      <c r="H124" s="32">
        <v>87.38</v>
      </c>
      <c r="I124" s="32">
        <v>80.17</v>
      </c>
      <c r="J124" s="31">
        <v>92.64</v>
      </c>
      <c r="K124" s="32">
        <v>89.55</v>
      </c>
      <c r="L124" s="32">
        <v>97.37</v>
      </c>
      <c r="M124" s="31">
        <v>79.41</v>
      </c>
      <c r="N124" s="46"/>
      <c r="O124" s="52"/>
      <c r="P124" s="53"/>
      <c r="Q124" s="53"/>
      <c r="R124" s="52"/>
      <c r="S124" s="52"/>
      <c r="T124" s="52"/>
      <c r="U124" s="52"/>
      <c r="V124" s="52"/>
    </row>
    <row r="125" spans="1:22" s="44" customFormat="1" x14ac:dyDescent="0.5">
      <c r="A125" s="41"/>
      <c r="B125" s="40" t="s">
        <v>188</v>
      </c>
      <c r="C125" s="39">
        <v>85.89</v>
      </c>
      <c r="D125" s="29">
        <v>88.49</v>
      </c>
      <c r="E125" s="29">
        <v>72.53</v>
      </c>
      <c r="F125" s="28">
        <v>88.62</v>
      </c>
      <c r="G125" s="29">
        <v>90.48</v>
      </c>
      <c r="H125" s="29">
        <v>87.81</v>
      </c>
      <c r="I125" s="29">
        <v>79.91</v>
      </c>
      <c r="J125" s="28">
        <v>91.89</v>
      </c>
      <c r="K125" s="29">
        <v>89.46</v>
      </c>
      <c r="L125" s="29">
        <v>95.02</v>
      </c>
      <c r="M125" s="28">
        <v>76.260000000000005</v>
      </c>
      <c r="N125" s="46"/>
      <c r="O125" s="52"/>
      <c r="P125" s="53"/>
      <c r="Q125" s="53"/>
      <c r="R125" s="52"/>
      <c r="S125" s="52"/>
      <c r="T125" s="52"/>
      <c r="U125" s="52"/>
      <c r="V125" s="52"/>
    </row>
    <row r="126" spans="1:22" s="44" customFormat="1" x14ac:dyDescent="0.5">
      <c r="A126" s="43"/>
      <c r="B126" s="37" t="s">
        <v>174</v>
      </c>
      <c r="C126" s="42">
        <v>85.57</v>
      </c>
      <c r="D126" s="32">
        <v>82.52</v>
      </c>
      <c r="E126" s="32">
        <v>78.59</v>
      </c>
      <c r="F126" s="31">
        <v>88.17</v>
      </c>
      <c r="G126" s="32">
        <v>89.7</v>
      </c>
      <c r="H126" s="32">
        <v>82.4</v>
      </c>
      <c r="I126" s="32">
        <v>95.29</v>
      </c>
      <c r="J126" s="31">
        <v>91.09</v>
      </c>
      <c r="K126" s="32">
        <v>88.92</v>
      </c>
      <c r="L126" s="32">
        <v>93.18</v>
      </c>
      <c r="M126" s="31">
        <v>76.52</v>
      </c>
      <c r="N126" s="46"/>
      <c r="O126" s="52"/>
      <c r="P126" s="53"/>
      <c r="Q126" s="53"/>
      <c r="R126" s="52"/>
      <c r="S126" s="52"/>
      <c r="T126" s="52"/>
      <c r="U126" s="52"/>
      <c r="V126" s="52"/>
    </row>
    <row r="127" spans="1:22" s="44" customFormat="1" x14ac:dyDescent="0.5">
      <c r="A127" s="41"/>
      <c r="B127" s="40" t="s">
        <v>176</v>
      </c>
      <c r="C127" s="39">
        <v>86.14</v>
      </c>
      <c r="D127" s="29">
        <v>82.22</v>
      </c>
      <c r="E127" s="29">
        <v>81.41</v>
      </c>
      <c r="F127" s="28">
        <v>88.4</v>
      </c>
      <c r="G127" s="29">
        <v>89.43</v>
      </c>
      <c r="H127" s="29">
        <v>82.22</v>
      </c>
      <c r="I127" s="29">
        <v>92.08</v>
      </c>
      <c r="J127" s="28">
        <v>91.01</v>
      </c>
      <c r="K127" s="29">
        <v>88.69</v>
      </c>
      <c r="L127" s="29">
        <v>92.73</v>
      </c>
      <c r="M127" s="28">
        <v>79.23</v>
      </c>
      <c r="N127" s="46"/>
      <c r="O127" s="52"/>
      <c r="P127" s="53"/>
      <c r="Q127" s="53"/>
      <c r="R127" s="52"/>
      <c r="S127" s="52"/>
      <c r="T127" s="52"/>
      <c r="U127" s="52"/>
      <c r="V127" s="52"/>
    </row>
    <row r="128" spans="1:22" s="44" customFormat="1" x14ac:dyDescent="0.5">
      <c r="A128" s="43"/>
      <c r="B128" s="37" t="s">
        <v>179</v>
      </c>
      <c r="C128" s="42">
        <v>85.46</v>
      </c>
      <c r="D128" s="32">
        <v>81.63</v>
      </c>
      <c r="E128" s="32">
        <v>79.25</v>
      </c>
      <c r="F128" s="31">
        <v>88.08</v>
      </c>
      <c r="G128" s="32">
        <v>88.81</v>
      </c>
      <c r="H128" s="32">
        <v>81.38</v>
      </c>
      <c r="I128" s="32">
        <v>87.15</v>
      </c>
      <c r="J128" s="31">
        <v>90.75</v>
      </c>
      <c r="K128" s="32">
        <v>88.19</v>
      </c>
      <c r="L128" s="32">
        <v>91.56</v>
      </c>
      <c r="M128" s="31">
        <v>78.099999999999994</v>
      </c>
      <c r="N128" s="46"/>
      <c r="O128" s="52"/>
      <c r="P128" s="53"/>
      <c r="Q128" s="53"/>
      <c r="R128" s="52"/>
      <c r="S128" s="52"/>
      <c r="T128" s="52"/>
      <c r="U128" s="52"/>
      <c r="V128" s="52"/>
    </row>
    <row r="129" spans="1:22" s="44" customFormat="1" x14ac:dyDescent="0.5">
      <c r="A129" s="41"/>
      <c r="B129" s="40" t="s">
        <v>180</v>
      </c>
      <c r="C129" s="39">
        <v>84.99</v>
      </c>
      <c r="D129" s="29">
        <v>79.819999999999993</v>
      </c>
      <c r="E129" s="29">
        <v>79.87</v>
      </c>
      <c r="F129" s="28">
        <v>87.69</v>
      </c>
      <c r="G129" s="29">
        <v>88.07</v>
      </c>
      <c r="H129" s="29">
        <v>79.510000000000005</v>
      </c>
      <c r="I129" s="29">
        <v>86.8</v>
      </c>
      <c r="J129" s="28">
        <v>90.27</v>
      </c>
      <c r="K129" s="29">
        <v>87.49</v>
      </c>
      <c r="L129" s="29">
        <v>90.67</v>
      </c>
      <c r="M129" s="28">
        <v>78.25</v>
      </c>
      <c r="N129" s="46"/>
      <c r="O129" s="52"/>
      <c r="P129" s="53"/>
      <c r="Q129" s="53"/>
      <c r="R129" s="52"/>
      <c r="S129" s="52"/>
      <c r="T129" s="52"/>
      <c r="U129" s="52"/>
      <c r="V129" s="52"/>
    </row>
    <row r="130" spans="1:22" s="44" customFormat="1" x14ac:dyDescent="0.5">
      <c r="A130" s="43"/>
      <c r="B130" s="37" t="s">
        <v>181</v>
      </c>
      <c r="C130" s="42">
        <v>84.12</v>
      </c>
      <c r="D130" s="32">
        <v>78.75</v>
      </c>
      <c r="E130" s="32">
        <v>78.94</v>
      </c>
      <c r="F130" s="31">
        <v>86.88</v>
      </c>
      <c r="G130" s="32">
        <v>87.44</v>
      </c>
      <c r="H130" s="32">
        <v>78.62</v>
      </c>
      <c r="I130" s="32">
        <v>88.79</v>
      </c>
      <c r="J130" s="31">
        <v>89.49</v>
      </c>
      <c r="K130" s="32">
        <v>87.06</v>
      </c>
      <c r="L130" s="32">
        <v>89.06</v>
      </c>
      <c r="M130" s="31">
        <v>76.16</v>
      </c>
      <c r="N130" s="46"/>
      <c r="O130" s="52"/>
      <c r="P130" s="53"/>
      <c r="Q130" s="53"/>
      <c r="R130" s="52"/>
      <c r="S130" s="52"/>
      <c r="T130" s="52"/>
      <c r="U130" s="52"/>
      <c r="V130" s="52"/>
    </row>
    <row r="131" spans="1:22" s="44" customFormat="1" x14ac:dyDescent="0.5">
      <c r="A131" s="41"/>
      <c r="B131" s="40" t="s">
        <v>182</v>
      </c>
      <c r="C131" s="39">
        <v>85.02</v>
      </c>
      <c r="D131" s="29">
        <v>78.84</v>
      </c>
      <c r="E131" s="29">
        <v>83.3</v>
      </c>
      <c r="F131" s="28">
        <v>87.12</v>
      </c>
      <c r="G131" s="29">
        <v>87.61</v>
      </c>
      <c r="H131" s="29">
        <v>78.44</v>
      </c>
      <c r="I131" s="29">
        <v>93.57</v>
      </c>
      <c r="J131" s="28">
        <v>89.43</v>
      </c>
      <c r="K131" s="29">
        <v>87.21</v>
      </c>
      <c r="L131" s="29">
        <v>89.39</v>
      </c>
      <c r="M131" s="28">
        <v>79.099999999999994</v>
      </c>
      <c r="N131" s="46"/>
      <c r="O131" s="52"/>
      <c r="P131" s="53"/>
      <c r="Q131" s="53"/>
      <c r="R131" s="52"/>
      <c r="S131" s="52"/>
      <c r="T131" s="52"/>
      <c r="U131" s="52"/>
      <c r="V131" s="52"/>
    </row>
    <row r="132" spans="1:22" s="44" customFormat="1" x14ac:dyDescent="0.5">
      <c r="A132" s="43"/>
      <c r="B132" s="37" t="s">
        <v>183</v>
      </c>
      <c r="C132" s="42">
        <v>86.34</v>
      </c>
      <c r="D132" s="32">
        <v>80.319999999999993</v>
      </c>
      <c r="E132" s="32">
        <v>86.36</v>
      </c>
      <c r="F132" s="31">
        <v>87.95</v>
      </c>
      <c r="G132" s="32">
        <v>88.43</v>
      </c>
      <c r="H132" s="32">
        <v>79.66</v>
      </c>
      <c r="I132" s="32">
        <v>96.63</v>
      </c>
      <c r="J132" s="31">
        <v>89.98</v>
      </c>
      <c r="K132" s="32">
        <v>87.79</v>
      </c>
      <c r="L132" s="32">
        <v>91.26</v>
      </c>
      <c r="M132" s="31">
        <v>82.41</v>
      </c>
      <c r="N132" s="46"/>
      <c r="O132" s="52"/>
      <c r="P132" s="53"/>
      <c r="Q132" s="53"/>
      <c r="R132" s="52"/>
      <c r="S132" s="52"/>
      <c r="T132" s="52"/>
      <c r="U132" s="52"/>
      <c r="V132" s="52"/>
    </row>
    <row r="133" spans="1:22" s="44" customFormat="1" x14ac:dyDescent="0.5">
      <c r="A133" s="41">
        <v>2010</v>
      </c>
      <c r="B133" s="40" t="s">
        <v>184</v>
      </c>
      <c r="C133" s="39">
        <v>88.13</v>
      </c>
      <c r="D133" s="29">
        <v>83.75</v>
      </c>
      <c r="E133" s="29">
        <v>86.62</v>
      </c>
      <c r="F133" s="28">
        <v>89.69</v>
      </c>
      <c r="G133" s="29">
        <v>89.52</v>
      </c>
      <c r="H133" s="29">
        <v>83.79</v>
      </c>
      <c r="I133" s="29">
        <v>97.28</v>
      </c>
      <c r="J133" s="28">
        <v>90.36</v>
      </c>
      <c r="K133" s="29">
        <v>89.17</v>
      </c>
      <c r="L133" s="29">
        <v>91.08</v>
      </c>
      <c r="M133" s="28">
        <v>85.33</v>
      </c>
      <c r="N133" s="16">
        <f>(C133-C121)/C121</f>
        <v>7.1880321089759142E-2</v>
      </c>
      <c r="O133" s="14"/>
      <c r="P133" s="53"/>
      <c r="Q133" s="53"/>
      <c r="R133" s="52"/>
      <c r="S133" s="52"/>
      <c r="T133" s="52"/>
      <c r="U133" s="52"/>
      <c r="V133" s="52"/>
    </row>
    <row r="134" spans="1:22" s="44" customFormat="1" x14ac:dyDescent="0.5">
      <c r="A134" s="43"/>
      <c r="B134" s="37" t="s">
        <v>185</v>
      </c>
      <c r="C134" s="42">
        <v>88.05</v>
      </c>
      <c r="D134" s="32">
        <v>86.32</v>
      </c>
      <c r="E134" s="32">
        <v>86.32</v>
      </c>
      <c r="F134" s="31">
        <v>88.96</v>
      </c>
      <c r="G134" s="32">
        <v>90.29</v>
      </c>
      <c r="H134" s="32">
        <v>86.41</v>
      </c>
      <c r="I134" s="32">
        <v>94.16</v>
      </c>
      <c r="J134" s="31">
        <v>90.95</v>
      </c>
      <c r="K134" s="32">
        <v>90.09</v>
      </c>
      <c r="L134" s="32">
        <v>91.14</v>
      </c>
      <c r="M134" s="31">
        <v>82.56</v>
      </c>
      <c r="N134" s="46"/>
      <c r="O134" s="52"/>
      <c r="P134" s="53"/>
      <c r="Q134" s="53"/>
      <c r="R134" s="52"/>
      <c r="S134" s="52"/>
      <c r="T134" s="52"/>
      <c r="U134" s="52"/>
      <c r="V134" s="52"/>
    </row>
    <row r="135" spans="1:22" s="44" customFormat="1" x14ac:dyDescent="0.5">
      <c r="A135" s="41"/>
      <c r="B135" s="40" t="s">
        <v>186</v>
      </c>
      <c r="C135" s="39">
        <v>88.28</v>
      </c>
      <c r="D135" s="29">
        <v>87.55</v>
      </c>
      <c r="E135" s="29">
        <v>86.79</v>
      </c>
      <c r="F135" s="28">
        <v>88.86</v>
      </c>
      <c r="G135" s="29">
        <v>90.81</v>
      </c>
      <c r="H135" s="29">
        <v>87.84</v>
      </c>
      <c r="I135" s="29">
        <v>97.26</v>
      </c>
      <c r="J135" s="28">
        <v>91.07</v>
      </c>
      <c r="K135" s="29">
        <v>90.77</v>
      </c>
      <c r="L135" s="29">
        <v>91.01</v>
      </c>
      <c r="M135" s="28">
        <v>81.58</v>
      </c>
      <c r="N135" s="46"/>
      <c r="O135" s="52"/>
      <c r="P135" s="53"/>
      <c r="Q135" s="53"/>
      <c r="R135" s="52"/>
      <c r="S135" s="52"/>
      <c r="T135" s="52"/>
      <c r="U135" s="52"/>
      <c r="V135" s="52"/>
    </row>
    <row r="136" spans="1:22" s="44" customFormat="1" x14ac:dyDescent="0.5">
      <c r="A136" s="43"/>
      <c r="B136" s="37" t="s">
        <v>187</v>
      </c>
      <c r="C136" s="42">
        <v>88.94</v>
      </c>
      <c r="D136" s="32">
        <v>87.3</v>
      </c>
      <c r="E136" s="32">
        <v>88.31</v>
      </c>
      <c r="F136" s="31">
        <v>89.55</v>
      </c>
      <c r="G136" s="32">
        <v>91.24</v>
      </c>
      <c r="H136" s="32">
        <v>87.47</v>
      </c>
      <c r="I136" s="32">
        <v>96.91</v>
      </c>
      <c r="J136" s="31">
        <v>91.75</v>
      </c>
      <c r="K136" s="32">
        <v>91.05</v>
      </c>
      <c r="L136" s="32">
        <v>92.08</v>
      </c>
      <c r="M136" s="31">
        <v>83.28</v>
      </c>
      <c r="N136" s="46"/>
      <c r="O136" s="52"/>
      <c r="P136" s="53"/>
      <c r="Q136" s="53"/>
      <c r="R136" s="52"/>
      <c r="S136" s="52"/>
      <c r="T136" s="52"/>
      <c r="U136" s="52"/>
      <c r="V136" s="52"/>
    </row>
    <row r="137" spans="1:22" s="44" customFormat="1" x14ac:dyDescent="0.5">
      <c r="A137" s="41"/>
      <c r="B137" s="40" t="s">
        <v>188</v>
      </c>
      <c r="C137" s="39">
        <v>89.96</v>
      </c>
      <c r="D137" s="29">
        <v>87.22</v>
      </c>
      <c r="E137" s="29">
        <v>90.7</v>
      </c>
      <c r="F137" s="28">
        <v>90.5</v>
      </c>
      <c r="G137" s="29">
        <v>91.69</v>
      </c>
      <c r="H137" s="29">
        <v>86.97</v>
      </c>
      <c r="I137" s="29">
        <v>98.73</v>
      </c>
      <c r="J137" s="28">
        <v>92.34</v>
      </c>
      <c r="K137" s="29">
        <v>91.43</v>
      </c>
      <c r="L137" s="29">
        <v>92.83</v>
      </c>
      <c r="M137" s="28">
        <v>85.97</v>
      </c>
      <c r="N137" s="46"/>
      <c r="O137" s="52"/>
      <c r="P137" s="53"/>
      <c r="Q137" s="53"/>
      <c r="R137" s="52"/>
      <c r="S137" s="52"/>
      <c r="T137" s="52"/>
      <c r="U137" s="52"/>
      <c r="V137" s="52"/>
    </row>
    <row r="138" spans="1:22" s="44" customFormat="1" x14ac:dyDescent="0.5">
      <c r="A138" s="43"/>
      <c r="B138" s="37" t="s">
        <v>174</v>
      </c>
      <c r="C138" s="42">
        <v>88.74</v>
      </c>
      <c r="D138" s="32">
        <v>86.95</v>
      </c>
      <c r="E138" s="32">
        <v>85.11</v>
      </c>
      <c r="F138" s="31">
        <v>90.15</v>
      </c>
      <c r="G138" s="32">
        <v>91.61</v>
      </c>
      <c r="H138" s="32">
        <v>87.27</v>
      </c>
      <c r="I138" s="32">
        <v>96.95</v>
      </c>
      <c r="J138" s="31">
        <v>92.3</v>
      </c>
      <c r="K138" s="32">
        <v>91.46</v>
      </c>
      <c r="L138" s="32">
        <v>92.33</v>
      </c>
      <c r="M138" s="31">
        <v>81.430000000000007</v>
      </c>
      <c r="N138" s="46"/>
      <c r="O138" s="52"/>
      <c r="P138" s="53"/>
      <c r="Q138" s="53"/>
      <c r="R138" s="52"/>
      <c r="S138" s="52"/>
      <c r="T138" s="52"/>
      <c r="U138" s="52"/>
      <c r="V138" s="52"/>
    </row>
    <row r="139" spans="1:22" s="44" customFormat="1" x14ac:dyDescent="0.5">
      <c r="A139" s="41"/>
      <c r="B139" s="40" t="s">
        <v>176</v>
      </c>
      <c r="C139" s="39">
        <v>88.06</v>
      </c>
      <c r="D139" s="29">
        <v>86.55</v>
      </c>
      <c r="E139" s="29">
        <v>83.82</v>
      </c>
      <c r="F139" s="28">
        <v>89.55</v>
      </c>
      <c r="G139" s="29">
        <v>91.06</v>
      </c>
      <c r="H139" s="29">
        <v>87.24</v>
      </c>
      <c r="I139" s="29">
        <v>95.15</v>
      </c>
      <c r="J139" s="28">
        <v>91.69</v>
      </c>
      <c r="K139" s="29">
        <v>91.05</v>
      </c>
      <c r="L139" s="29">
        <v>91.03</v>
      </c>
      <c r="M139" s="28">
        <v>79.97</v>
      </c>
      <c r="N139" s="46"/>
      <c r="O139" s="52"/>
      <c r="P139" s="53"/>
      <c r="Q139" s="53"/>
      <c r="R139" s="52"/>
      <c r="S139" s="52"/>
      <c r="T139" s="52"/>
      <c r="U139" s="52"/>
      <c r="V139" s="52"/>
    </row>
    <row r="140" spans="1:22" s="44" customFormat="1" x14ac:dyDescent="0.5">
      <c r="A140" s="43"/>
      <c r="B140" s="37" t="s">
        <v>179</v>
      </c>
      <c r="C140" s="42">
        <v>87.63</v>
      </c>
      <c r="D140" s="32">
        <v>85.64</v>
      </c>
      <c r="E140" s="32">
        <v>83.39</v>
      </c>
      <c r="F140" s="31">
        <v>89.25</v>
      </c>
      <c r="G140" s="32">
        <v>90.57</v>
      </c>
      <c r="H140" s="32">
        <v>86.7</v>
      </c>
      <c r="I140" s="32">
        <v>93.17</v>
      </c>
      <c r="J140" s="31">
        <v>91.33</v>
      </c>
      <c r="K140" s="32">
        <v>90.73</v>
      </c>
      <c r="L140" s="32">
        <v>89.84</v>
      </c>
      <c r="M140" s="31">
        <v>79.25</v>
      </c>
      <c r="N140" s="46"/>
      <c r="O140" s="52"/>
      <c r="P140" s="53"/>
      <c r="Q140" s="53"/>
      <c r="R140" s="52"/>
      <c r="S140" s="52"/>
      <c r="T140" s="52"/>
      <c r="U140" s="52"/>
      <c r="V140" s="52"/>
    </row>
    <row r="141" spans="1:22" s="44" customFormat="1" x14ac:dyDescent="0.5">
      <c r="A141" s="41"/>
      <c r="B141" s="40" t="s">
        <v>180</v>
      </c>
      <c r="C141" s="39">
        <v>87</v>
      </c>
      <c r="D141" s="29">
        <v>83.97</v>
      </c>
      <c r="E141" s="29">
        <v>81.96</v>
      </c>
      <c r="F141" s="28">
        <v>89.1</v>
      </c>
      <c r="G141" s="29">
        <v>90.07</v>
      </c>
      <c r="H141" s="29">
        <v>84.99</v>
      </c>
      <c r="I141" s="29">
        <v>93.26</v>
      </c>
      <c r="J141" s="28">
        <v>91.09</v>
      </c>
      <c r="K141" s="29">
        <v>90.21</v>
      </c>
      <c r="L141" s="29">
        <v>89.43</v>
      </c>
      <c r="M141" s="28">
        <v>78.319999999999993</v>
      </c>
      <c r="N141" s="46"/>
      <c r="O141" s="52"/>
      <c r="P141" s="53"/>
      <c r="Q141" s="53"/>
      <c r="R141" s="52"/>
      <c r="S141" s="52"/>
      <c r="T141" s="52"/>
      <c r="U141" s="52"/>
      <c r="V141" s="52"/>
    </row>
    <row r="142" spans="1:22" s="44" customFormat="1" x14ac:dyDescent="0.5">
      <c r="A142" s="43"/>
      <c r="B142" s="37" t="s">
        <v>181</v>
      </c>
      <c r="C142" s="42">
        <v>87.01</v>
      </c>
      <c r="D142" s="32">
        <v>81.58</v>
      </c>
      <c r="E142" s="32">
        <v>83.31</v>
      </c>
      <c r="F142" s="31">
        <v>89.41</v>
      </c>
      <c r="G142" s="32">
        <v>89.76</v>
      </c>
      <c r="H142" s="32">
        <v>82.63</v>
      </c>
      <c r="I142" s="32">
        <v>94.94</v>
      </c>
      <c r="J142" s="31">
        <v>91.14</v>
      </c>
      <c r="K142" s="32">
        <v>89.77</v>
      </c>
      <c r="L142" s="32">
        <v>89.72</v>
      </c>
      <c r="M142" s="31">
        <v>79.55</v>
      </c>
      <c r="N142" s="46"/>
      <c r="O142" s="52"/>
      <c r="P142" s="53"/>
      <c r="Q142" s="53"/>
      <c r="R142" s="52"/>
      <c r="S142" s="52"/>
      <c r="T142" s="52"/>
      <c r="U142" s="52"/>
      <c r="V142" s="52"/>
    </row>
    <row r="143" spans="1:22" s="44" customFormat="1" x14ac:dyDescent="0.5">
      <c r="A143" s="41"/>
      <c r="B143" s="40" t="s">
        <v>182</v>
      </c>
      <c r="C143" s="39">
        <v>89.02</v>
      </c>
      <c r="D143" s="29">
        <v>83.96</v>
      </c>
      <c r="E143" s="29">
        <v>89.16</v>
      </c>
      <c r="F143" s="28">
        <v>90.34</v>
      </c>
      <c r="G143" s="29">
        <v>90.81</v>
      </c>
      <c r="H143" s="29">
        <v>85.13</v>
      </c>
      <c r="I143" s="29">
        <v>97.59</v>
      </c>
      <c r="J143" s="28">
        <v>91.71</v>
      </c>
      <c r="K143" s="29">
        <v>90.84</v>
      </c>
      <c r="L143" s="29">
        <v>90.66</v>
      </c>
      <c r="M143" s="28">
        <v>84.1</v>
      </c>
      <c r="N143" s="46"/>
      <c r="O143" s="52"/>
      <c r="P143" s="53"/>
      <c r="Q143" s="53"/>
      <c r="R143" s="52"/>
      <c r="S143" s="52"/>
      <c r="T143" s="52"/>
      <c r="U143" s="52"/>
      <c r="V143" s="52"/>
    </row>
    <row r="144" spans="1:22" s="44" customFormat="1" x14ac:dyDescent="0.5">
      <c r="A144" s="43"/>
      <c r="B144" s="37" t="s">
        <v>183</v>
      </c>
      <c r="C144" s="42">
        <v>91.31</v>
      </c>
      <c r="D144" s="32">
        <v>87.6</v>
      </c>
      <c r="E144" s="32">
        <v>94.43</v>
      </c>
      <c r="F144" s="31">
        <v>91.51</v>
      </c>
      <c r="G144" s="32">
        <v>92.3</v>
      </c>
      <c r="H144" s="32">
        <v>88.63</v>
      </c>
      <c r="I144" s="32">
        <v>101.39</v>
      </c>
      <c r="J144" s="31">
        <v>92.54</v>
      </c>
      <c r="K144" s="32">
        <v>92.38</v>
      </c>
      <c r="L144" s="32">
        <v>91.93</v>
      </c>
      <c r="M144" s="31">
        <v>88.42</v>
      </c>
      <c r="N144" s="46"/>
      <c r="O144" s="52"/>
      <c r="P144" s="53"/>
      <c r="Q144" s="53"/>
      <c r="R144" s="52"/>
      <c r="S144" s="52"/>
      <c r="T144" s="52"/>
      <c r="U144" s="52"/>
      <c r="V144" s="52"/>
    </row>
    <row r="145" spans="1:22" s="44" customFormat="1" x14ac:dyDescent="0.5">
      <c r="A145" s="41">
        <v>2011</v>
      </c>
      <c r="B145" s="40" t="s">
        <v>184</v>
      </c>
      <c r="C145" s="39">
        <v>92.46</v>
      </c>
      <c r="D145" s="29">
        <v>90.44</v>
      </c>
      <c r="E145" s="29">
        <v>95.73</v>
      </c>
      <c r="F145" s="28">
        <v>92.17</v>
      </c>
      <c r="G145" s="29">
        <v>93.39</v>
      </c>
      <c r="H145" s="29">
        <v>91.83</v>
      </c>
      <c r="I145" s="29">
        <v>101.11</v>
      </c>
      <c r="J145" s="28">
        <v>93.21</v>
      </c>
      <c r="K145" s="29">
        <v>93.7</v>
      </c>
      <c r="L145" s="29">
        <v>91.99</v>
      </c>
      <c r="M145" s="28">
        <v>89.13</v>
      </c>
      <c r="N145" s="16">
        <f>(C145-C133)/C133</f>
        <v>4.9131964143878347E-2</v>
      </c>
      <c r="O145" s="14"/>
      <c r="P145" s="53"/>
      <c r="Q145" s="53"/>
      <c r="R145" s="52"/>
      <c r="S145" s="52"/>
      <c r="T145" s="52"/>
      <c r="U145" s="52"/>
      <c r="V145" s="52"/>
    </row>
    <row r="146" spans="1:22" s="44" customFormat="1" x14ac:dyDescent="0.5">
      <c r="A146" s="43"/>
      <c r="B146" s="37" t="s">
        <v>185</v>
      </c>
      <c r="C146" s="42">
        <v>93.94</v>
      </c>
      <c r="D146" s="32">
        <v>91.71</v>
      </c>
      <c r="E146" s="32">
        <v>97.87</v>
      </c>
      <c r="F146" s="31">
        <v>93.53</v>
      </c>
      <c r="G146" s="32">
        <v>94.45</v>
      </c>
      <c r="H146" s="32">
        <v>93.09</v>
      </c>
      <c r="I146" s="32">
        <v>103.89</v>
      </c>
      <c r="J146" s="31">
        <v>94.1</v>
      </c>
      <c r="K146" s="32">
        <v>94.84</v>
      </c>
      <c r="L146" s="32">
        <v>92.71</v>
      </c>
      <c r="M146" s="31">
        <v>91.5</v>
      </c>
      <c r="N146" s="46"/>
      <c r="O146" s="52"/>
      <c r="P146" s="53"/>
      <c r="Q146" s="53"/>
      <c r="R146" s="52"/>
      <c r="S146" s="52"/>
      <c r="T146" s="52"/>
      <c r="U146" s="52"/>
      <c r="V146" s="52"/>
    </row>
    <row r="147" spans="1:22" s="44" customFormat="1" x14ac:dyDescent="0.5">
      <c r="A147" s="41"/>
      <c r="B147" s="40" t="s">
        <v>186</v>
      </c>
      <c r="C147" s="39">
        <v>95.53</v>
      </c>
      <c r="D147" s="29">
        <v>93.21</v>
      </c>
      <c r="E147" s="29">
        <v>101.5</v>
      </c>
      <c r="F147" s="28">
        <v>94.63</v>
      </c>
      <c r="G147" s="29">
        <v>95.33</v>
      </c>
      <c r="H147" s="29">
        <v>94.94</v>
      </c>
      <c r="I147" s="29">
        <v>105.06</v>
      </c>
      <c r="J147" s="28">
        <v>94.73</v>
      </c>
      <c r="K147" s="29">
        <v>95.77</v>
      </c>
      <c r="L147" s="29">
        <v>93.37</v>
      </c>
      <c r="M147" s="28">
        <v>94.91</v>
      </c>
      <c r="N147" s="46"/>
      <c r="O147" s="52"/>
      <c r="P147" s="53"/>
      <c r="Q147" s="53"/>
      <c r="R147" s="52"/>
      <c r="S147" s="52"/>
      <c r="T147" s="52"/>
      <c r="U147" s="52"/>
      <c r="V147" s="52"/>
    </row>
    <row r="148" spans="1:22" s="44" customFormat="1" x14ac:dyDescent="0.5">
      <c r="A148" s="43"/>
      <c r="B148" s="37" t="s">
        <v>187</v>
      </c>
      <c r="C148" s="42">
        <v>96.22</v>
      </c>
      <c r="D148" s="32">
        <v>92.42</v>
      </c>
      <c r="E148" s="32">
        <v>104.82</v>
      </c>
      <c r="F148" s="31">
        <v>95.04</v>
      </c>
      <c r="G148" s="32">
        <v>95.53</v>
      </c>
      <c r="H148" s="32">
        <v>94.54</v>
      </c>
      <c r="I148" s="32">
        <v>106.56</v>
      </c>
      <c r="J148" s="31">
        <v>94.97</v>
      </c>
      <c r="K148" s="32">
        <v>96.16</v>
      </c>
      <c r="L148" s="32">
        <v>92.73</v>
      </c>
      <c r="M148" s="31">
        <v>96.41</v>
      </c>
      <c r="N148" s="46"/>
      <c r="O148" s="52"/>
      <c r="P148" s="53"/>
      <c r="Q148" s="53"/>
      <c r="R148" s="52"/>
      <c r="S148" s="52"/>
      <c r="T148" s="52"/>
      <c r="U148" s="52"/>
      <c r="V148" s="52"/>
    </row>
    <row r="149" spans="1:22" s="44" customFormat="1" x14ac:dyDescent="0.5">
      <c r="A149" s="41"/>
      <c r="B149" s="40" t="s">
        <v>188</v>
      </c>
      <c r="C149" s="39">
        <v>97.67</v>
      </c>
      <c r="D149" s="29">
        <v>93.26</v>
      </c>
      <c r="E149" s="29">
        <v>109.37</v>
      </c>
      <c r="F149" s="28">
        <v>95.86</v>
      </c>
      <c r="G149" s="29">
        <v>96.11</v>
      </c>
      <c r="H149" s="29">
        <v>95.32</v>
      </c>
      <c r="I149" s="29">
        <v>106.65</v>
      </c>
      <c r="J149" s="28">
        <v>95.54</v>
      </c>
      <c r="K149" s="29">
        <v>96.78</v>
      </c>
      <c r="L149" s="29">
        <v>93.08</v>
      </c>
      <c r="M149" s="28">
        <v>100.08</v>
      </c>
      <c r="N149" s="46"/>
      <c r="O149" s="52"/>
      <c r="P149" s="53"/>
      <c r="Q149" s="53"/>
      <c r="R149" s="52"/>
      <c r="S149" s="52"/>
      <c r="T149" s="52"/>
      <c r="U149" s="52"/>
      <c r="V149" s="52"/>
    </row>
    <row r="150" spans="1:22" s="44" customFormat="1" x14ac:dyDescent="0.5">
      <c r="A150" s="43"/>
      <c r="B150" s="37" t="s">
        <v>174</v>
      </c>
      <c r="C150" s="42">
        <v>96.34</v>
      </c>
      <c r="D150" s="32">
        <v>93.14</v>
      </c>
      <c r="E150" s="32">
        <v>102.94</v>
      </c>
      <c r="F150" s="31">
        <v>95.51</v>
      </c>
      <c r="G150" s="32">
        <v>95.94</v>
      </c>
      <c r="H150" s="32">
        <v>95.5</v>
      </c>
      <c r="I150" s="32">
        <v>102.64</v>
      </c>
      <c r="J150" s="31">
        <v>95.56</v>
      </c>
      <c r="K150" s="32">
        <v>96.57</v>
      </c>
      <c r="L150" s="32">
        <v>93.12</v>
      </c>
      <c r="M150" s="31">
        <v>95.74</v>
      </c>
      <c r="N150" s="46"/>
      <c r="O150" s="52"/>
      <c r="P150" s="53"/>
      <c r="Q150" s="53"/>
      <c r="R150" s="52"/>
      <c r="S150" s="52"/>
      <c r="T150" s="52"/>
      <c r="U150" s="52"/>
      <c r="V150" s="52"/>
    </row>
    <row r="151" spans="1:22" s="44" customFormat="1" x14ac:dyDescent="0.5">
      <c r="A151" s="41"/>
      <c r="B151" s="40" t="s">
        <v>176</v>
      </c>
      <c r="C151" s="39">
        <v>95.43</v>
      </c>
      <c r="D151" s="29">
        <v>92.21</v>
      </c>
      <c r="E151" s="29">
        <v>99.28</v>
      </c>
      <c r="F151" s="28">
        <v>95.31</v>
      </c>
      <c r="G151" s="29">
        <v>95.4</v>
      </c>
      <c r="H151" s="29">
        <v>94.74</v>
      </c>
      <c r="I151" s="29">
        <v>99.74</v>
      </c>
      <c r="J151" s="28">
        <v>95.24</v>
      </c>
      <c r="K151" s="29">
        <v>96</v>
      </c>
      <c r="L151" s="29">
        <v>92.69</v>
      </c>
      <c r="M151" s="28">
        <v>93.9</v>
      </c>
      <c r="N151" s="46"/>
      <c r="O151" s="52"/>
      <c r="P151" s="53"/>
      <c r="Q151" s="53"/>
      <c r="R151" s="52"/>
      <c r="S151" s="52"/>
      <c r="T151" s="52"/>
      <c r="U151" s="52"/>
      <c r="V151" s="52"/>
    </row>
    <row r="152" spans="1:22" s="44" customFormat="1" x14ac:dyDescent="0.5">
      <c r="A152" s="43"/>
      <c r="B152" s="37" t="s">
        <v>179</v>
      </c>
      <c r="C152" s="42">
        <v>95.74</v>
      </c>
      <c r="D152" s="32">
        <v>91.69</v>
      </c>
      <c r="E152" s="32">
        <v>99.75</v>
      </c>
      <c r="F152" s="31">
        <v>95.8</v>
      </c>
      <c r="G152" s="32">
        <v>95.45</v>
      </c>
      <c r="H152" s="32">
        <v>93.91</v>
      </c>
      <c r="I152" s="32">
        <v>99.5</v>
      </c>
      <c r="J152" s="31">
        <v>95.53</v>
      </c>
      <c r="K152" s="32">
        <v>96.02</v>
      </c>
      <c r="L152" s="32">
        <v>92.91</v>
      </c>
      <c r="M152" s="31">
        <v>95</v>
      </c>
      <c r="N152" s="46"/>
      <c r="O152" s="52"/>
      <c r="P152" s="53"/>
      <c r="Q152" s="53"/>
      <c r="R152" s="52"/>
      <c r="S152" s="52"/>
      <c r="T152" s="52"/>
      <c r="U152" s="52"/>
      <c r="V152" s="52"/>
    </row>
    <row r="153" spans="1:22" s="44" customFormat="1" x14ac:dyDescent="0.5">
      <c r="A153" s="41"/>
      <c r="B153" s="40" t="s">
        <v>180</v>
      </c>
      <c r="C153" s="39">
        <v>96.38</v>
      </c>
      <c r="D153" s="29">
        <v>93.8</v>
      </c>
      <c r="E153" s="29">
        <v>100.11</v>
      </c>
      <c r="F153" s="28">
        <v>96.12</v>
      </c>
      <c r="G153" s="29">
        <v>96.1</v>
      </c>
      <c r="H153" s="29">
        <v>95.9</v>
      </c>
      <c r="I153" s="29">
        <v>103.11</v>
      </c>
      <c r="J153" s="28">
        <v>95.64</v>
      </c>
      <c r="K153" s="29">
        <v>96.68</v>
      </c>
      <c r="L153" s="29">
        <v>93.5</v>
      </c>
      <c r="M153" s="28">
        <v>95.57</v>
      </c>
      <c r="N153" s="46"/>
      <c r="O153" s="52"/>
      <c r="P153" s="53"/>
      <c r="Q153" s="53"/>
      <c r="R153" s="52"/>
      <c r="S153" s="52"/>
      <c r="T153" s="52"/>
      <c r="U153" s="52"/>
      <c r="V153" s="52"/>
    </row>
    <row r="154" spans="1:22" s="44" customFormat="1" x14ac:dyDescent="0.5">
      <c r="A154" s="43"/>
      <c r="B154" s="37" t="s">
        <v>181</v>
      </c>
      <c r="C154" s="42">
        <v>98.18</v>
      </c>
      <c r="D154" s="32">
        <v>96.15</v>
      </c>
      <c r="E154" s="32">
        <v>104.94</v>
      </c>
      <c r="F154" s="31">
        <v>96.99</v>
      </c>
      <c r="G154" s="32">
        <v>97.11</v>
      </c>
      <c r="H154" s="32">
        <v>98.17</v>
      </c>
      <c r="I154" s="32">
        <v>103.85</v>
      </c>
      <c r="J154" s="31">
        <v>96.35</v>
      </c>
      <c r="K154" s="32">
        <v>97.55</v>
      </c>
      <c r="L154" s="32">
        <v>95.11</v>
      </c>
      <c r="M154" s="31">
        <v>99.88</v>
      </c>
      <c r="N154" s="46"/>
      <c r="O154" s="52"/>
      <c r="P154" s="53"/>
      <c r="Q154" s="53"/>
      <c r="R154" s="52"/>
      <c r="S154" s="52"/>
      <c r="T154" s="52"/>
      <c r="U154" s="52"/>
      <c r="V154" s="52"/>
    </row>
    <row r="155" spans="1:22" s="44" customFormat="1" x14ac:dyDescent="0.5">
      <c r="A155" s="41"/>
      <c r="B155" s="40" t="s">
        <v>182</v>
      </c>
      <c r="C155" s="39">
        <v>98.83</v>
      </c>
      <c r="D155" s="29">
        <v>94.96</v>
      </c>
      <c r="E155" s="29">
        <v>108.5</v>
      </c>
      <c r="F155" s="28">
        <v>97.39</v>
      </c>
      <c r="G155" s="29">
        <v>97.25</v>
      </c>
      <c r="H155" s="29">
        <v>96.94</v>
      </c>
      <c r="I155" s="29">
        <v>106.24</v>
      </c>
      <c r="J155" s="28">
        <v>96.67</v>
      </c>
      <c r="K155" s="29">
        <v>97.64</v>
      </c>
      <c r="L155" s="29">
        <v>95.47</v>
      </c>
      <c r="M155" s="28">
        <v>102.03</v>
      </c>
      <c r="N155" s="46"/>
      <c r="O155" s="52"/>
      <c r="P155" s="53"/>
      <c r="Q155" s="53"/>
      <c r="R155" s="52"/>
      <c r="S155" s="52"/>
      <c r="T155" s="52"/>
      <c r="U155" s="52"/>
      <c r="V155" s="52"/>
    </row>
    <row r="156" spans="1:22" s="44" customFormat="1" x14ac:dyDescent="0.5">
      <c r="A156" s="43"/>
      <c r="B156" s="37" t="s">
        <v>183</v>
      </c>
      <c r="C156" s="42">
        <v>99.21</v>
      </c>
      <c r="D156" s="32">
        <v>95.33</v>
      </c>
      <c r="E156" s="32">
        <v>110.09</v>
      </c>
      <c r="F156" s="31">
        <v>97.46</v>
      </c>
      <c r="G156" s="32">
        <v>97.39</v>
      </c>
      <c r="H156" s="32">
        <v>97.05</v>
      </c>
      <c r="I156" s="32">
        <v>106.46</v>
      </c>
      <c r="J156" s="31">
        <v>96.81</v>
      </c>
      <c r="K156" s="32">
        <v>97.75</v>
      </c>
      <c r="L156" s="32">
        <v>95.76</v>
      </c>
      <c r="M156" s="31">
        <v>103.16</v>
      </c>
      <c r="N156" s="46"/>
      <c r="O156" s="52"/>
      <c r="P156" s="53"/>
      <c r="Q156" s="53"/>
      <c r="R156" s="52"/>
      <c r="S156" s="52"/>
      <c r="T156" s="52"/>
      <c r="U156" s="52"/>
      <c r="V156" s="52"/>
    </row>
    <row r="157" spans="1:22" s="44" customFormat="1" x14ac:dyDescent="0.5">
      <c r="A157" s="41">
        <v>2012</v>
      </c>
      <c r="B157" s="40" t="s">
        <v>184</v>
      </c>
      <c r="C157" s="39">
        <v>97.67</v>
      </c>
      <c r="D157" s="29">
        <v>94.03</v>
      </c>
      <c r="E157" s="29">
        <v>104.44</v>
      </c>
      <c r="F157" s="28">
        <v>96.92</v>
      </c>
      <c r="G157" s="29">
        <v>96.9</v>
      </c>
      <c r="H157" s="29">
        <v>95.71</v>
      </c>
      <c r="I157" s="29">
        <v>102.83</v>
      </c>
      <c r="J157" s="28">
        <v>96.75</v>
      </c>
      <c r="K157" s="29">
        <v>97.55</v>
      </c>
      <c r="L157" s="29">
        <v>93.98</v>
      </c>
      <c r="M157" s="28">
        <v>98</v>
      </c>
      <c r="N157" s="16">
        <f>(C157-C145)/C145</f>
        <v>5.6348691325978889E-2</v>
      </c>
      <c r="O157" s="14"/>
      <c r="P157" s="53"/>
      <c r="Q157" s="53"/>
      <c r="R157" s="52"/>
      <c r="S157" s="52"/>
      <c r="T157" s="52"/>
      <c r="U157" s="52"/>
      <c r="V157" s="52"/>
    </row>
    <row r="158" spans="1:22" s="44" customFormat="1" x14ac:dyDescent="0.5">
      <c r="A158" s="43"/>
      <c r="B158" s="37" t="s">
        <v>185</v>
      </c>
      <c r="C158" s="42">
        <v>97.81</v>
      </c>
      <c r="D158" s="32">
        <v>95.23</v>
      </c>
      <c r="E158" s="32">
        <v>103.3</v>
      </c>
      <c r="F158" s="31">
        <v>97.09</v>
      </c>
      <c r="G158" s="32">
        <v>97.03</v>
      </c>
      <c r="H158" s="32">
        <v>96.4</v>
      </c>
      <c r="I158" s="32">
        <v>104.88</v>
      </c>
      <c r="J158" s="31">
        <v>96.61</v>
      </c>
      <c r="K158" s="32">
        <v>98.01</v>
      </c>
      <c r="L158" s="32">
        <v>92.58</v>
      </c>
      <c r="M158" s="31">
        <v>97.24</v>
      </c>
      <c r="N158" s="46"/>
      <c r="O158" s="52"/>
      <c r="P158" s="53"/>
      <c r="Q158" s="53"/>
      <c r="R158" s="52"/>
      <c r="S158" s="52"/>
      <c r="T158" s="52"/>
      <c r="U158" s="52"/>
      <c r="V158" s="52"/>
    </row>
    <row r="159" spans="1:22" s="44" customFormat="1" x14ac:dyDescent="0.5">
      <c r="A159" s="41"/>
      <c r="B159" s="40" t="s">
        <v>186</v>
      </c>
      <c r="C159" s="39">
        <v>97.66</v>
      </c>
      <c r="D159" s="29">
        <v>94.08</v>
      </c>
      <c r="E159" s="29">
        <v>105.05</v>
      </c>
      <c r="F159" s="28">
        <v>96.73</v>
      </c>
      <c r="G159" s="29">
        <v>96.82</v>
      </c>
      <c r="H159" s="29">
        <v>95.61</v>
      </c>
      <c r="I159" s="29">
        <v>106.21</v>
      </c>
      <c r="J159" s="28">
        <v>96.44</v>
      </c>
      <c r="K159" s="29">
        <v>98.02</v>
      </c>
      <c r="L159" s="29">
        <v>91.44</v>
      </c>
      <c r="M159" s="28">
        <v>96.68</v>
      </c>
      <c r="N159" s="46"/>
      <c r="O159" s="52"/>
      <c r="P159" s="53"/>
      <c r="Q159" s="53"/>
      <c r="R159" s="52"/>
      <c r="S159" s="52"/>
      <c r="T159" s="52"/>
      <c r="U159" s="52"/>
      <c r="V159" s="52"/>
    </row>
    <row r="160" spans="1:22" s="44" customFormat="1" x14ac:dyDescent="0.5">
      <c r="A160" s="43"/>
      <c r="B160" s="37" t="s">
        <v>187</v>
      </c>
      <c r="C160" s="42">
        <v>98.1</v>
      </c>
      <c r="D160" s="32">
        <v>93.61</v>
      </c>
      <c r="E160" s="32">
        <v>107.96</v>
      </c>
      <c r="F160" s="31">
        <v>96.79</v>
      </c>
      <c r="G160" s="32">
        <v>97.02</v>
      </c>
      <c r="H160" s="32">
        <v>95.02</v>
      </c>
      <c r="I160" s="32">
        <v>108.6</v>
      </c>
      <c r="J160" s="31">
        <v>96.68</v>
      </c>
      <c r="K160" s="32">
        <v>98.21</v>
      </c>
      <c r="L160" s="32">
        <v>91.66</v>
      </c>
      <c r="M160" s="31">
        <v>97.8</v>
      </c>
      <c r="N160" s="46"/>
      <c r="O160" s="52"/>
      <c r="P160" s="53"/>
      <c r="Q160" s="53"/>
      <c r="R160" s="52"/>
      <c r="S160" s="52"/>
      <c r="T160" s="52"/>
      <c r="U160" s="52"/>
      <c r="V160" s="52"/>
    </row>
    <row r="161" spans="1:22" s="44" customFormat="1" x14ac:dyDescent="0.5">
      <c r="A161" s="41"/>
      <c r="B161" s="40" t="s">
        <v>188</v>
      </c>
      <c r="C161" s="39">
        <v>97.68</v>
      </c>
      <c r="D161" s="29">
        <v>92.65</v>
      </c>
      <c r="E161" s="29">
        <v>106.2</v>
      </c>
      <c r="F161" s="28">
        <v>96.85</v>
      </c>
      <c r="G161" s="29">
        <v>96.88</v>
      </c>
      <c r="H161" s="29">
        <v>93.89</v>
      </c>
      <c r="I161" s="29">
        <v>105.34</v>
      </c>
      <c r="J161" s="28">
        <v>96.99</v>
      </c>
      <c r="K161" s="29">
        <v>97.95</v>
      </c>
      <c r="L161" s="29">
        <v>92.07</v>
      </c>
      <c r="M161" s="28">
        <v>96.96</v>
      </c>
      <c r="N161" s="46"/>
      <c r="O161" s="52"/>
      <c r="P161" s="53"/>
      <c r="Q161" s="53"/>
      <c r="R161" s="52"/>
      <c r="S161" s="52"/>
      <c r="T161" s="52"/>
      <c r="U161" s="52"/>
      <c r="V161" s="52"/>
    </row>
    <row r="162" spans="1:22" s="44" customFormat="1" x14ac:dyDescent="0.5">
      <c r="A162" s="43"/>
      <c r="B162" s="37" t="s">
        <v>174</v>
      </c>
      <c r="C162" s="42">
        <v>95.12</v>
      </c>
      <c r="D162" s="32">
        <v>89.29</v>
      </c>
      <c r="E162" s="32">
        <v>98.32</v>
      </c>
      <c r="F162" s="31">
        <v>95.86</v>
      </c>
      <c r="G162" s="32">
        <v>95.27</v>
      </c>
      <c r="H162" s="32">
        <v>90.5</v>
      </c>
      <c r="I162" s="32">
        <v>95.21</v>
      </c>
      <c r="J162" s="31">
        <v>96.44</v>
      </c>
      <c r="K162" s="32">
        <v>95.96</v>
      </c>
      <c r="L162" s="32">
        <v>92.19</v>
      </c>
      <c r="M162" s="31">
        <v>92.84</v>
      </c>
      <c r="N162" s="46"/>
      <c r="O162" s="52"/>
      <c r="P162" s="53"/>
      <c r="Q162" s="53"/>
      <c r="R162" s="52"/>
      <c r="S162" s="52"/>
      <c r="T162" s="52"/>
      <c r="U162" s="52"/>
      <c r="V162" s="52"/>
    </row>
    <row r="163" spans="1:22" s="44" customFormat="1" x14ac:dyDescent="0.5">
      <c r="A163" s="41"/>
      <c r="B163" s="40" t="s">
        <v>176</v>
      </c>
      <c r="C163" s="39">
        <v>93.55</v>
      </c>
      <c r="D163" s="29">
        <v>90.43</v>
      </c>
      <c r="E163" s="29">
        <v>90.92</v>
      </c>
      <c r="F163" s="28">
        <v>95.07</v>
      </c>
      <c r="G163" s="29">
        <v>95.1</v>
      </c>
      <c r="H163" s="29">
        <v>91.87</v>
      </c>
      <c r="I163" s="29">
        <v>91.61</v>
      </c>
      <c r="J163" s="28">
        <v>96.14</v>
      </c>
      <c r="K163" s="29">
        <v>95.83</v>
      </c>
      <c r="L163" s="29">
        <v>91.81</v>
      </c>
      <c r="M163" s="28">
        <v>87.4</v>
      </c>
      <c r="N163" s="46"/>
      <c r="O163" s="52"/>
      <c r="P163" s="53"/>
      <c r="Q163" s="53"/>
      <c r="R163" s="52"/>
      <c r="S163" s="52"/>
      <c r="T163" s="52"/>
      <c r="U163" s="52"/>
      <c r="V163" s="52"/>
    </row>
    <row r="164" spans="1:22" s="44" customFormat="1" x14ac:dyDescent="0.5">
      <c r="A164" s="43"/>
      <c r="B164" s="37" t="s">
        <v>179</v>
      </c>
      <c r="C164" s="42">
        <v>94.89</v>
      </c>
      <c r="D164" s="32">
        <v>89.97</v>
      </c>
      <c r="E164" s="32">
        <v>97.18</v>
      </c>
      <c r="F164" s="31">
        <v>95.62</v>
      </c>
      <c r="G164" s="32">
        <v>95.57</v>
      </c>
      <c r="H164" s="32">
        <v>91.48</v>
      </c>
      <c r="I164" s="32">
        <v>98.74</v>
      </c>
      <c r="J164" s="31">
        <v>96.33</v>
      </c>
      <c r="K164" s="32">
        <v>96.37</v>
      </c>
      <c r="L164" s="32">
        <v>91.92</v>
      </c>
      <c r="M164" s="31">
        <v>90.87</v>
      </c>
      <c r="N164" s="46"/>
      <c r="O164" s="52"/>
      <c r="P164" s="53"/>
      <c r="Q164" s="53"/>
      <c r="R164" s="52"/>
      <c r="S164" s="52"/>
      <c r="T164" s="52"/>
      <c r="U164" s="52"/>
      <c r="V164" s="52"/>
    </row>
    <row r="165" spans="1:22" s="44" customFormat="1" x14ac:dyDescent="0.5">
      <c r="A165" s="41"/>
      <c r="B165" s="40" t="s">
        <v>180</v>
      </c>
      <c r="C165" s="39">
        <v>96.39</v>
      </c>
      <c r="D165" s="29">
        <v>92.67</v>
      </c>
      <c r="E165" s="29">
        <v>101.7</v>
      </c>
      <c r="F165" s="28">
        <v>96.03</v>
      </c>
      <c r="G165" s="29">
        <v>96.2</v>
      </c>
      <c r="H165" s="29">
        <v>94.34</v>
      </c>
      <c r="I165" s="29">
        <v>101.33</v>
      </c>
      <c r="J165" s="28">
        <v>96.29</v>
      </c>
      <c r="K165" s="29">
        <v>97.28</v>
      </c>
      <c r="L165" s="29">
        <v>91.36</v>
      </c>
      <c r="M165" s="28">
        <v>93.98</v>
      </c>
      <c r="N165" s="46"/>
      <c r="O165" s="52"/>
      <c r="P165" s="53"/>
      <c r="Q165" s="53"/>
      <c r="R165" s="52"/>
      <c r="S165" s="52"/>
      <c r="T165" s="52"/>
      <c r="U165" s="52"/>
      <c r="V165" s="52"/>
    </row>
    <row r="166" spans="1:22" s="44" customFormat="1" x14ac:dyDescent="0.5">
      <c r="A166" s="43"/>
      <c r="B166" s="37" t="s">
        <v>181</v>
      </c>
      <c r="C166" s="42">
        <v>96.26</v>
      </c>
      <c r="D166" s="32">
        <v>91.54</v>
      </c>
      <c r="E166" s="32">
        <v>101.88</v>
      </c>
      <c r="F166" s="31">
        <v>96.09</v>
      </c>
      <c r="G166" s="32">
        <v>96.01</v>
      </c>
      <c r="H166" s="32">
        <v>93.12</v>
      </c>
      <c r="I166" s="32">
        <v>101.57</v>
      </c>
      <c r="J166" s="31">
        <v>96.32</v>
      </c>
      <c r="K166" s="32">
        <v>97.07</v>
      </c>
      <c r="L166" s="32">
        <v>91.24</v>
      </c>
      <c r="M166" s="31">
        <v>94.06</v>
      </c>
      <c r="N166" s="46"/>
      <c r="O166" s="52"/>
      <c r="P166" s="53"/>
      <c r="Q166" s="53"/>
      <c r="R166" s="52"/>
      <c r="S166" s="52"/>
      <c r="T166" s="52"/>
      <c r="U166" s="52"/>
      <c r="V166" s="52"/>
    </row>
    <row r="167" spans="1:22" s="44" customFormat="1" x14ac:dyDescent="0.5">
      <c r="A167" s="41"/>
      <c r="B167" s="40" t="s">
        <v>182</v>
      </c>
      <c r="C167" s="39">
        <v>95.5</v>
      </c>
      <c r="D167" s="29">
        <v>88.42</v>
      </c>
      <c r="E167" s="29">
        <v>101.57</v>
      </c>
      <c r="F167" s="28">
        <v>95.84</v>
      </c>
      <c r="G167" s="29">
        <v>95.21</v>
      </c>
      <c r="H167" s="29">
        <v>89.73</v>
      </c>
      <c r="I167" s="29">
        <v>100.01</v>
      </c>
      <c r="J167" s="28">
        <v>96.2</v>
      </c>
      <c r="K167" s="29">
        <v>96.05</v>
      </c>
      <c r="L167" s="29">
        <v>91.46</v>
      </c>
      <c r="M167" s="28">
        <v>94</v>
      </c>
      <c r="N167" s="46"/>
      <c r="O167" s="52"/>
      <c r="P167" s="53"/>
      <c r="Q167" s="53"/>
      <c r="R167" s="52"/>
      <c r="S167" s="52"/>
      <c r="T167" s="52"/>
      <c r="U167" s="52"/>
      <c r="V167" s="52"/>
    </row>
    <row r="168" spans="1:22" s="44" customFormat="1" x14ac:dyDescent="0.5">
      <c r="A168" s="43"/>
      <c r="B168" s="37" t="s">
        <v>183</v>
      </c>
      <c r="C168" s="42">
        <v>94.39</v>
      </c>
      <c r="D168" s="32">
        <v>86.4</v>
      </c>
      <c r="E168" s="32">
        <v>99.86</v>
      </c>
      <c r="F168" s="31">
        <v>95.14</v>
      </c>
      <c r="G168" s="32">
        <v>94.51</v>
      </c>
      <c r="H168" s="32">
        <v>87.64</v>
      </c>
      <c r="I168" s="32">
        <v>98.95</v>
      </c>
      <c r="J168" s="31">
        <v>95.87</v>
      </c>
      <c r="K168" s="32">
        <v>95.26</v>
      </c>
      <c r="L168" s="32">
        <v>91.14</v>
      </c>
      <c r="M168" s="31">
        <v>92.05</v>
      </c>
      <c r="N168" s="46"/>
      <c r="O168" s="52"/>
      <c r="P168" s="53"/>
      <c r="Q168" s="53"/>
      <c r="R168" s="52"/>
      <c r="S168" s="52"/>
      <c r="T168" s="52"/>
      <c r="U168" s="52"/>
      <c r="V168" s="52"/>
    </row>
    <row r="169" spans="1:22" s="44" customFormat="1" x14ac:dyDescent="0.5">
      <c r="A169" s="41">
        <v>2013</v>
      </c>
      <c r="B169" s="40" t="s">
        <v>184</v>
      </c>
      <c r="C169" s="39">
        <v>94.24</v>
      </c>
      <c r="D169" s="29">
        <v>87.04</v>
      </c>
      <c r="E169" s="29">
        <v>99.15</v>
      </c>
      <c r="F169" s="28">
        <v>94.92</v>
      </c>
      <c r="G169" s="29">
        <v>94.46</v>
      </c>
      <c r="H169" s="29">
        <v>88.43</v>
      </c>
      <c r="I169" s="29">
        <v>97.1</v>
      </c>
      <c r="J169" s="28">
        <v>95.75</v>
      </c>
      <c r="K169" s="29">
        <v>95.32</v>
      </c>
      <c r="L169" s="29">
        <v>90.63</v>
      </c>
      <c r="M169" s="28">
        <v>91.34</v>
      </c>
      <c r="N169" s="16">
        <f>(C169-C157)/C157</f>
        <v>-3.511825534964684E-2</v>
      </c>
      <c r="O169" s="14"/>
      <c r="P169" s="53"/>
      <c r="Q169" s="53"/>
      <c r="R169" s="52"/>
      <c r="S169" s="52"/>
      <c r="T169" s="52"/>
      <c r="U169" s="52"/>
      <c r="V169" s="52"/>
    </row>
    <row r="170" spans="1:22" s="44" customFormat="1" x14ac:dyDescent="0.5">
      <c r="A170" s="43"/>
      <c r="B170" s="37" t="s">
        <v>185</v>
      </c>
      <c r="C170" s="42">
        <v>94.77</v>
      </c>
      <c r="D170" s="32">
        <v>86.95</v>
      </c>
      <c r="E170" s="32">
        <v>101.32</v>
      </c>
      <c r="F170" s="31">
        <v>95.19</v>
      </c>
      <c r="G170" s="32">
        <v>94.63</v>
      </c>
      <c r="H170" s="32">
        <v>88.08</v>
      </c>
      <c r="I170" s="32">
        <v>99.5</v>
      </c>
      <c r="J170" s="31">
        <v>95.88</v>
      </c>
      <c r="K170" s="32">
        <v>95.46</v>
      </c>
      <c r="L170" s="32">
        <v>90.89</v>
      </c>
      <c r="M170" s="31">
        <v>92.9</v>
      </c>
      <c r="N170" s="46"/>
      <c r="O170" s="52"/>
      <c r="P170" s="53"/>
      <c r="Q170" s="53"/>
      <c r="R170" s="52"/>
      <c r="S170" s="52"/>
      <c r="T170" s="52"/>
      <c r="U170" s="52"/>
      <c r="V170" s="52"/>
    </row>
    <row r="171" spans="1:22" s="44" customFormat="1" x14ac:dyDescent="0.5">
      <c r="A171" s="41"/>
      <c r="B171" s="40" t="s">
        <v>186</v>
      </c>
      <c r="C171" s="39">
        <v>95.69</v>
      </c>
      <c r="D171" s="29">
        <v>88.57</v>
      </c>
      <c r="E171" s="29">
        <v>104.13</v>
      </c>
      <c r="F171" s="28">
        <v>95.44</v>
      </c>
      <c r="G171" s="29">
        <v>94.98</v>
      </c>
      <c r="H171" s="29">
        <v>89.45</v>
      </c>
      <c r="I171" s="29">
        <v>98.58</v>
      </c>
      <c r="J171" s="28">
        <v>96.07</v>
      </c>
      <c r="K171" s="29">
        <v>95.86</v>
      </c>
      <c r="L171" s="29">
        <v>91.01</v>
      </c>
      <c r="M171" s="28">
        <v>95.22</v>
      </c>
      <c r="N171" s="46"/>
      <c r="O171" s="52"/>
      <c r="P171" s="53"/>
      <c r="Q171" s="53"/>
      <c r="R171" s="52"/>
      <c r="S171" s="52"/>
      <c r="T171" s="52"/>
      <c r="U171" s="52"/>
      <c r="V171" s="52"/>
    </row>
    <row r="172" spans="1:22" s="44" customFormat="1" x14ac:dyDescent="0.5">
      <c r="A172" s="43"/>
      <c r="B172" s="37" t="s">
        <v>187</v>
      </c>
      <c r="C172" s="42">
        <v>95.02</v>
      </c>
      <c r="D172" s="32">
        <v>88.57</v>
      </c>
      <c r="E172" s="32">
        <v>100.7</v>
      </c>
      <c r="F172" s="31">
        <v>95.3</v>
      </c>
      <c r="G172" s="32">
        <v>94.68</v>
      </c>
      <c r="H172" s="32">
        <v>89.23</v>
      </c>
      <c r="I172" s="32">
        <v>93.64</v>
      </c>
      <c r="J172" s="31">
        <v>96.08</v>
      </c>
      <c r="K172" s="32">
        <v>95.4</v>
      </c>
      <c r="L172" s="32">
        <v>91.41</v>
      </c>
      <c r="M172" s="31">
        <v>93.98</v>
      </c>
      <c r="N172" s="46"/>
      <c r="O172" s="52"/>
      <c r="P172" s="53"/>
      <c r="Q172" s="53"/>
      <c r="R172" s="52"/>
      <c r="S172" s="52"/>
      <c r="T172" s="52"/>
      <c r="U172" s="52"/>
      <c r="V172" s="52"/>
    </row>
    <row r="173" spans="1:22" s="44" customFormat="1" x14ac:dyDescent="0.5">
      <c r="A173" s="41"/>
      <c r="B173" s="40" t="s">
        <v>188</v>
      </c>
      <c r="C173" s="39">
        <v>94.77</v>
      </c>
      <c r="D173" s="29">
        <v>89.57</v>
      </c>
      <c r="E173" s="29">
        <v>98.11</v>
      </c>
      <c r="F173" s="28">
        <v>95.31</v>
      </c>
      <c r="G173" s="29">
        <v>94.86</v>
      </c>
      <c r="H173" s="29">
        <v>90.19</v>
      </c>
      <c r="I173" s="29">
        <v>91.02</v>
      </c>
      <c r="J173" s="28">
        <v>96.27</v>
      </c>
      <c r="K173" s="29">
        <v>95.57</v>
      </c>
      <c r="L173" s="29">
        <v>91.66</v>
      </c>
      <c r="M173" s="28">
        <v>92.6</v>
      </c>
      <c r="N173" s="46"/>
      <c r="O173" s="52"/>
      <c r="P173" s="53"/>
      <c r="Q173" s="53"/>
      <c r="R173" s="52"/>
      <c r="S173" s="52"/>
      <c r="T173" s="52"/>
      <c r="U173" s="52"/>
      <c r="V173" s="52"/>
    </row>
    <row r="174" spans="1:22" s="44" customFormat="1" x14ac:dyDescent="0.5">
      <c r="A174" s="43"/>
      <c r="B174" s="37" t="s">
        <v>174</v>
      </c>
      <c r="C174" s="42">
        <v>95.5</v>
      </c>
      <c r="D174" s="32">
        <v>88.97</v>
      </c>
      <c r="E174" s="32">
        <v>101.64</v>
      </c>
      <c r="F174" s="31">
        <v>95.69</v>
      </c>
      <c r="G174" s="32">
        <v>95.08</v>
      </c>
      <c r="H174" s="32">
        <v>89.32</v>
      </c>
      <c r="I174" s="32">
        <v>93.59</v>
      </c>
      <c r="J174" s="31">
        <v>96.59</v>
      </c>
      <c r="K174" s="32">
        <v>95.6</v>
      </c>
      <c r="L174" s="32">
        <v>92.75</v>
      </c>
      <c r="M174" s="31">
        <v>95.25</v>
      </c>
      <c r="N174" s="46"/>
      <c r="O174" s="52"/>
      <c r="P174" s="53"/>
      <c r="Q174" s="53"/>
      <c r="R174" s="52"/>
      <c r="S174" s="52"/>
      <c r="T174" s="52"/>
      <c r="U174" s="52"/>
      <c r="V174" s="52"/>
    </row>
    <row r="175" spans="1:22" s="44" customFormat="1" x14ac:dyDescent="0.5">
      <c r="A175" s="41"/>
      <c r="B175" s="40" t="s">
        <v>176</v>
      </c>
      <c r="C175" s="39">
        <v>95.21</v>
      </c>
      <c r="D175" s="29">
        <v>88.22</v>
      </c>
      <c r="E175" s="29">
        <v>100.87</v>
      </c>
      <c r="F175" s="28">
        <v>95.65</v>
      </c>
      <c r="G175" s="29">
        <v>95.08</v>
      </c>
      <c r="H175" s="29">
        <v>88.89</v>
      </c>
      <c r="I175" s="29">
        <v>94.12</v>
      </c>
      <c r="J175" s="28">
        <v>96.66</v>
      </c>
      <c r="K175" s="29">
        <v>95.64</v>
      </c>
      <c r="L175" s="29">
        <v>92.54</v>
      </c>
      <c r="M175" s="28">
        <v>94.06</v>
      </c>
      <c r="N175" s="46"/>
      <c r="O175" s="52"/>
      <c r="P175" s="53"/>
      <c r="Q175" s="53"/>
      <c r="R175" s="52"/>
      <c r="S175" s="52"/>
      <c r="T175" s="52"/>
      <c r="U175" s="52"/>
      <c r="V175" s="52"/>
    </row>
    <row r="176" spans="1:22" s="44" customFormat="1" x14ac:dyDescent="0.5">
      <c r="A176" s="43"/>
      <c r="B176" s="37" t="s">
        <v>179</v>
      </c>
      <c r="C176" s="42">
        <v>95.48</v>
      </c>
      <c r="D176" s="32">
        <v>88.04</v>
      </c>
      <c r="E176" s="32">
        <v>102.93</v>
      </c>
      <c r="F176" s="31">
        <v>95.58</v>
      </c>
      <c r="G176" s="32">
        <v>95.08</v>
      </c>
      <c r="H176" s="32">
        <v>88.63</v>
      </c>
      <c r="I176" s="32">
        <v>95.74</v>
      </c>
      <c r="J176" s="31">
        <v>96.61</v>
      </c>
      <c r="K176" s="32">
        <v>95.69</v>
      </c>
      <c r="L176" s="32">
        <v>92.35</v>
      </c>
      <c r="M176" s="31">
        <v>94.93</v>
      </c>
      <c r="N176" s="46"/>
      <c r="O176" s="52"/>
      <c r="P176" s="53"/>
      <c r="Q176" s="53"/>
      <c r="R176" s="52"/>
      <c r="S176" s="52"/>
      <c r="T176" s="52"/>
      <c r="U176" s="52"/>
      <c r="V176" s="52"/>
    </row>
    <row r="177" spans="1:22" s="44" customFormat="1" x14ac:dyDescent="0.5">
      <c r="A177" s="41"/>
      <c r="B177" s="40" t="s">
        <v>180</v>
      </c>
      <c r="C177" s="39">
        <v>95.93</v>
      </c>
      <c r="D177" s="29">
        <v>86.39</v>
      </c>
      <c r="E177" s="29">
        <v>107.02</v>
      </c>
      <c r="F177" s="28">
        <v>95.66</v>
      </c>
      <c r="G177" s="29">
        <v>94.93</v>
      </c>
      <c r="H177" s="29">
        <v>86.84</v>
      </c>
      <c r="I177" s="29">
        <v>98.31</v>
      </c>
      <c r="J177" s="28">
        <v>96.66</v>
      </c>
      <c r="K177" s="29">
        <v>95.4</v>
      </c>
      <c r="L177" s="29">
        <v>92.79</v>
      </c>
      <c r="M177" s="28">
        <v>97.36</v>
      </c>
      <c r="N177" s="46"/>
      <c r="O177" s="52"/>
      <c r="P177" s="53"/>
      <c r="Q177" s="53"/>
      <c r="R177" s="52"/>
      <c r="S177" s="52"/>
      <c r="T177" s="52"/>
      <c r="U177" s="52"/>
      <c r="V177" s="52"/>
    </row>
    <row r="178" spans="1:22" s="44" customFormat="1" x14ac:dyDescent="0.5">
      <c r="A178" s="43"/>
      <c r="B178" s="37" t="s">
        <v>181</v>
      </c>
      <c r="C178" s="42">
        <v>94.73</v>
      </c>
      <c r="D178" s="32">
        <v>84.47</v>
      </c>
      <c r="E178" s="32">
        <v>103.67</v>
      </c>
      <c r="F178" s="31">
        <v>95.2</v>
      </c>
      <c r="G178" s="32">
        <v>94.19</v>
      </c>
      <c r="H178" s="32">
        <v>84.89</v>
      </c>
      <c r="I178" s="32">
        <v>96.28</v>
      </c>
      <c r="J178" s="31">
        <v>96.32</v>
      </c>
      <c r="K178" s="32">
        <v>94.66</v>
      </c>
      <c r="L178" s="32">
        <v>92.1</v>
      </c>
      <c r="M178" s="31">
        <v>94.93</v>
      </c>
      <c r="N178" s="46"/>
      <c r="O178" s="52"/>
      <c r="P178" s="53"/>
      <c r="Q178" s="53"/>
      <c r="R178" s="52"/>
      <c r="S178" s="52"/>
      <c r="T178" s="52"/>
      <c r="U178" s="52"/>
      <c r="V178" s="52"/>
    </row>
    <row r="179" spans="1:22" s="44" customFormat="1" x14ac:dyDescent="0.5">
      <c r="A179" s="41"/>
      <c r="B179" s="40" t="s">
        <v>182</v>
      </c>
      <c r="C179" s="39">
        <v>94.53</v>
      </c>
      <c r="D179" s="29">
        <v>83.38</v>
      </c>
      <c r="E179" s="29">
        <v>103.08</v>
      </c>
      <c r="F179" s="28">
        <v>95.33</v>
      </c>
      <c r="G179" s="29">
        <v>93.95</v>
      </c>
      <c r="H179" s="29">
        <v>83.55</v>
      </c>
      <c r="I179" s="29">
        <v>96.11</v>
      </c>
      <c r="J179" s="28">
        <v>96.33</v>
      </c>
      <c r="K179" s="29">
        <v>94.26</v>
      </c>
      <c r="L179" s="29">
        <v>92.53</v>
      </c>
      <c r="M179" s="28">
        <v>95.25</v>
      </c>
      <c r="N179" s="46"/>
      <c r="O179" s="52"/>
      <c r="P179" s="53"/>
      <c r="Q179" s="53"/>
      <c r="R179" s="52"/>
      <c r="S179" s="52"/>
      <c r="T179" s="52"/>
      <c r="U179" s="52"/>
      <c r="V179" s="52"/>
    </row>
    <row r="180" spans="1:22" s="44" customFormat="1" x14ac:dyDescent="0.5">
      <c r="A180" s="43"/>
      <c r="B180" s="37" t="s">
        <v>183</v>
      </c>
      <c r="C180" s="42">
        <v>94.32</v>
      </c>
      <c r="D180" s="32">
        <v>83.75</v>
      </c>
      <c r="E180" s="32">
        <v>101.41</v>
      </c>
      <c r="F180" s="31">
        <v>95.35</v>
      </c>
      <c r="G180" s="32">
        <v>94.05</v>
      </c>
      <c r="H180" s="32">
        <v>83.61</v>
      </c>
      <c r="I180" s="32">
        <v>95.71</v>
      </c>
      <c r="J180" s="31">
        <v>96.48</v>
      </c>
      <c r="K180" s="32">
        <v>94.35</v>
      </c>
      <c r="L180" s="32">
        <v>92.7</v>
      </c>
      <c r="M180" s="31">
        <v>94.26</v>
      </c>
      <c r="N180" s="46"/>
      <c r="O180" s="52"/>
      <c r="P180" s="53"/>
      <c r="Q180" s="53"/>
      <c r="R180" s="52"/>
      <c r="S180" s="52"/>
      <c r="T180" s="52"/>
      <c r="U180" s="52"/>
      <c r="V180" s="52"/>
    </row>
    <row r="181" spans="1:22" s="44" customFormat="1" x14ac:dyDescent="0.5">
      <c r="A181" s="41">
        <v>2014</v>
      </c>
      <c r="B181" s="40" t="s">
        <v>184</v>
      </c>
      <c r="C181" s="39">
        <v>95.18</v>
      </c>
      <c r="D181" s="29">
        <v>84.83</v>
      </c>
      <c r="E181" s="29">
        <v>103.8</v>
      </c>
      <c r="F181" s="28">
        <v>95.75</v>
      </c>
      <c r="G181" s="29">
        <v>94.68</v>
      </c>
      <c r="H181" s="29">
        <v>85.4</v>
      </c>
      <c r="I181" s="29">
        <v>96.47</v>
      </c>
      <c r="J181" s="28">
        <v>96.82</v>
      </c>
      <c r="K181" s="29">
        <v>94.98</v>
      </c>
      <c r="L181" s="29">
        <v>93.3</v>
      </c>
      <c r="M181" s="28">
        <v>95.72</v>
      </c>
      <c r="N181" s="16">
        <f>(C181-C169)/C169</f>
        <v>9.9745331069610779E-3</v>
      </c>
      <c r="O181" s="14"/>
      <c r="P181" s="53"/>
      <c r="Q181" s="53"/>
      <c r="R181" s="52"/>
      <c r="S181" s="52"/>
      <c r="T181" s="52"/>
      <c r="U181" s="52"/>
      <c r="V181" s="52"/>
    </row>
    <row r="182" spans="1:22" s="44" customFormat="1" x14ac:dyDescent="0.5">
      <c r="A182" s="43"/>
      <c r="B182" s="37" t="s">
        <v>185</v>
      </c>
      <c r="C182" s="42">
        <v>96.57</v>
      </c>
      <c r="D182" s="32">
        <v>87.62</v>
      </c>
      <c r="E182" s="32">
        <v>105.67</v>
      </c>
      <c r="F182" s="31">
        <v>96.65</v>
      </c>
      <c r="G182" s="32">
        <v>95.83</v>
      </c>
      <c r="H182" s="32">
        <v>87.77</v>
      </c>
      <c r="I182" s="32">
        <v>101.73</v>
      </c>
      <c r="J182" s="31">
        <v>97.38</v>
      </c>
      <c r="K182" s="32">
        <v>96.06</v>
      </c>
      <c r="L182" s="32">
        <v>94.79</v>
      </c>
      <c r="M182" s="31">
        <v>97.95</v>
      </c>
      <c r="N182" s="46"/>
      <c r="O182" s="52"/>
      <c r="P182" s="53"/>
      <c r="Q182" s="53"/>
      <c r="R182" s="52"/>
      <c r="S182" s="52"/>
      <c r="T182" s="52"/>
      <c r="U182" s="52"/>
      <c r="V182" s="52"/>
    </row>
    <row r="183" spans="1:22" s="44" customFormat="1" x14ac:dyDescent="0.5">
      <c r="A183" s="41"/>
      <c r="B183" s="40" t="s">
        <v>186</v>
      </c>
      <c r="C183" s="39">
        <v>98.16</v>
      </c>
      <c r="D183" s="29">
        <v>93.35</v>
      </c>
      <c r="E183" s="29">
        <v>106.64</v>
      </c>
      <c r="F183" s="28">
        <v>97.28</v>
      </c>
      <c r="G183" s="29">
        <v>97.47</v>
      </c>
      <c r="H183" s="29">
        <v>94.41</v>
      </c>
      <c r="I183" s="29">
        <v>103.79</v>
      </c>
      <c r="J183" s="28">
        <v>97.76</v>
      </c>
      <c r="K183" s="29">
        <v>98.03</v>
      </c>
      <c r="L183" s="29">
        <v>94.97</v>
      </c>
      <c r="M183" s="28">
        <v>98.51</v>
      </c>
      <c r="N183" s="46"/>
      <c r="O183" s="52"/>
      <c r="P183" s="53"/>
      <c r="Q183" s="53"/>
      <c r="R183" s="52"/>
      <c r="S183" s="52"/>
      <c r="T183" s="52"/>
      <c r="U183" s="52"/>
      <c r="V183" s="52"/>
    </row>
    <row r="184" spans="1:22" s="44" customFormat="1" x14ac:dyDescent="0.5">
      <c r="A184" s="43"/>
      <c r="B184" s="37" t="s">
        <v>187</v>
      </c>
      <c r="C184" s="42">
        <v>98.04</v>
      </c>
      <c r="D184" s="32">
        <v>95.72</v>
      </c>
      <c r="E184" s="32">
        <v>103.34</v>
      </c>
      <c r="F184" s="31">
        <v>97.31</v>
      </c>
      <c r="G184" s="32">
        <v>97.89</v>
      </c>
      <c r="H184" s="32">
        <v>96.94</v>
      </c>
      <c r="I184" s="32">
        <v>101.42</v>
      </c>
      <c r="J184" s="31">
        <v>97.87</v>
      </c>
      <c r="K184" s="32">
        <v>98.8</v>
      </c>
      <c r="L184" s="32">
        <v>93.86</v>
      </c>
      <c r="M184" s="31">
        <v>96.01</v>
      </c>
      <c r="N184" s="46"/>
      <c r="O184" s="52"/>
      <c r="P184" s="53"/>
      <c r="Q184" s="53"/>
      <c r="R184" s="52"/>
      <c r="S184" s="52"/>
      <c r="T184" s="52"/>
      <c r="U184" s="52"/>
      <c r="V184" s="52"/>
    </row>
    <row r="185" spans="1:22" s="44" customFormat="1" x14ac:dyDescent="0.5">
      <c r="A185" s="41"/>
      <c r="B185" s="40" t="s">
        <v>188</v>
      </c>
      <c r="C185" s="39">
        <v>97.86</v>
      </c>
      <c r="D185" s="29">
        <v>94.48</v>
      </c>
      <c r="E185" s="29">
        <v>102.98</v>
      </c>
      <c r="F185" s="28">
        <v>97.46</v>
      </c>
      <c r="G185" s="29">
        <v>97.77</v>
      </c>
      <c r="H185" s="29">
        <v>95.84</v>
      </c>
      <c r="I185" s="29">
        <v>101.24</v>
      </c>
      <c r="J185" s="28">
        <v>97.99</v>
      </c>
      <c r="K185" s="29">
        <v>98.77</v>
      </c>
      <c r="L185" s="29">
        <v>93.28</v>
      </c>
      <c r="M185" s="28">
        <v>95.39</v>
      </c>
      <c r="N185" s="46"/>
      <c r="O185" s="52"/>
      <c r="P185" s="53"/>
      <c r="Q185" s="53"/>
      <c r="R185" s="52"/>
      <c r="S185" s="52"/>
      <c r="T185" s="52"/>
      <c r="U185" s="52"/>
      <c r="V185" s="52"/>
    </row>
    <row r="186" spans="1:22" s="44" customFormat="1" x14ac:dyDescent="0.5">
      <c r="A186" s="43"/>
      <c r="B186" s="37" t="s">
        <v>174</v>
      </c>
      <c r="C186" s="42">
        <v>97.4</v>
      </c>
      <c r="D186" s="32">
        <v>92.7</v>
      </c>
      <c r="E186" s="32">
        <v>102.54</v>
      </c>
      <c r="F186" s="31">
        <v>97.34</v>
      </c>
      <c r="G186" s="32">
        <v>97.44</v>
      </c>
      <c r="H186" s="32">
        <v>94.54</v>
      </c>
      <c r="I186" s="32">
        <v>99.8</v>
      </c>
      <c r="J186" s="31">
        <v>97.99</v>
      </c>
      <c r="K186" s="32">
        <v>98.49</v>
      </c>
      <c r="L186" s="32">
        <v>92.77</v>
      </c>
      <c r="M186" s="31">
        <v>94.45</v>
      </c>
      <c r="N186" s="46"/>
      <c r="O186" s="52"/>
      <c r="P186" s="53"/>
      <c r="Q186" s="53"/>
      <c r="R186" s="52"/>
      <c r="S186" s="52"/>
      <c r="T186" s="52"/>
      <c r="U186" s="52"/>
      <c r="V186" s="52"/>
    </row>
    <row r="187" spans="1:22" s="44" customFormat="1" x14ac:dyDescent="0.5">
      <c r="A187" s="41"/>
      <c r="B187" s="40" t="s">
        <v>176</v>
      </c>
      <c r="C187" s="39">
        <v>97.08</v>
      </c>
      <c r="D187" s="29">
        <v>92.55</v>
      </c>
      <c r="E187" s="29">
        <v>101.36</v>
      </c>
      <c r="F187" s="28">
        <v>97.2</v>
      </c>
      <c r="G187" s="29">
        <v>97.22</v>
      </c>
      <c r="H187" s="29">
        <v>94.3</v>
      </c>
      <c r="I187" s="29">
        <v>98.14</v>
      </c>
      <c r="J187" s="28">
        <v>97.87</v>
      </c>
      <c r="K187" s="29">
        <v>98.42</v>
      </c>
      <c r="L187" s="29">
        <v>91.87</v>
      </c>
      <c r="M187" s="28">
        <v>93.46</v>
      </c>
      <c r="N187" s="46"/>
      <c r="O187" s="52"/>
      <c r="P187" s="53"/>
      <c r="Q187" s="53"/>
      <c r="R187" s="52"/>
      <c r="S187" s="52"/>
      <c r="T187" s="52"/>
      <c r="U187" s="52"/>
      <c r="V187" s="52"/>
    </row>
    <row r="188" spans="1:22" s="44" customFormat="1" x14ac:dyDescent="0.5">
      <c r="A188" s="43"/>
      <c r="B188" s="37" t="s">
        <v>179</v>
      </c>
      <c r="C188" s="42">
        <v>97.82</v>
      </c>
      <c r="D188" s="32">
        <v>95.05</v>
      </c>
      <c r="E188" s="32">
        <v>102.03</v>
      </c>
      <c r="F188" s="31">
        <v>97.49</v>
      </c>
      <c r="G188" s="32">
        <v>97.89</v>
      </c>
      <c r="H188" s="32">
        <v>96.87</v>
      </c>
      <c r="I188" s="32">
        <v>99.61</v>
      </c>
      <c r="J188" s="31">
        <v>98.02</v>
      </c>
      <c r="K188" s="32">
        <v>99.11</v>
      </c>
      <c r="L188" s="32">
        <v>92.44</v>
      </c>
      <c r="M188" s="31">
        <v>94.33</v>
      </c>
      <c r="N188" s="46"/>
      <c r="O188" s="52"/>
      <c r="P188" s="53"/>
      <c r="Q188" s="53"/>
      <c r="R188" s="52"/>
      <c r="S188" s="52"/>
      <c r="T188" s="52"/>
      <c r="U188" s="52"/>
      <c r="V188" s="52"/>
    </row>
    <row r="189" spans="1:22" s="44" customFormat="1" x14ac:dyDescent="0.5">
      <c r="A189" s="41"/>
      <c r="B189" s="40" t="s">
        <v>180</v>
      </c>
      <c r="C189" s="39">
        <v>98.45</v>
      </c>
      <c r="D189" s="29">
        <v>96.44</v>
      </c>
      <c r="E189" s="29">
        <v>101.84</v>
      </c>
      <c r="F189" s="28">
        <v>98.13</v>
      </c>
      <c r="G189" s="29">
        <v>98.4</v>
      </c>
      <c r="H189" s="29">
        <v>97.82</v>
      </c>
      <c r="I189" s="29">
        <v>100.13</v>
      </c>
      <c r="J189" s="28">
        <v>98.41</v>
      </c>
      <c r="K189" s="29">
        <v>99.5</v>
      </c>
      <c r="L189" s="29">
        <v>93.46</v>
      </c>
      <c r="M189" s="28">
        <v>95.61</v>
      </c>
      <c r="N189" s="46"/>
      <c r="O189" s="52"/>
      <c r="P189" s="53"/>
      <c r="Q189" s="53"/>
      <c r="R189" s="52"/>
      <c r="S189" s="52"/>
      <c r="T189" s="52"/>
      <c r="U189" s="52"/>
      <c r="V189" s="52"/>
    </row>
    <row r="190" spans="1:22" s="44" customFormat="1" x14ac:dyDescent="0.5">
      <c r="A190" s="43"/>
      <c r="B190" s="37" t="s">
        <v>181</v>
      </c>
      <c r="C190" s="42">
        <v>98.71</v>
      </c>
      <c r="D190" s="32">
        <v>98.46</v>
      </c>
      <c r="E190" s="32">
        <v>99.65</v>
      </c>
      <c r="F190" s="31">
        <v>98.53</v>
      </c>
      <c r="G190" s="32">
        <v>98.84</v>
      </c>
      <c r="H190" s="32">
        <v>99.72</v>
      </c>
      <c r="I190" s="32">
        <v>99.05</v>
      </c>
      <c r="J190" s="31">
        <v>98.59</v>
      </c>
      <c r="K190" s="32">
        <v>99.77</v>
      </c>
      <c r="L190" s="32">
        <v>94.65</v>
      </c>
      <c r="M190" s="31">
        <v>95.84</v>
      </c>
      <c r="N190" s="46"/>
      <c r="O190" s="52"/>
      <c r="P190" s="53"/>
      <c r="Q190" s="53"/>
      <c r="R190" s="52"/>
      <c r="S190" s="52"/>
      <c r="T190" s="52"/>
      <c r="U190" s="52"/>
      <c r="V190" s="52"/>
    </row>
    <row r="191" spans="1:22" s="44" customFormat="1" x14ac:dyDescent="0.5">
      <c r="A191" s="41"/>
      <c r="B191" s="40" t="s">
        <v>182</v>
      </c>
      <c r="C191" s="39">
        <v>98.06</v>
      </c>
      <c r="D191" s="29">
        <v>98.01</v>
      </c>
      <c r="E191" s="29">
        <v>95.7</v>
      </c>
      <c r="F191" s="28">
        <v>98.67</v>
      </c>
      <c r="G191" s="29">
        <v>98.76</v>
      </c>
      <c r="H191" s="29">
        <v>98.83</v>
      </c>
      <c r="I191" s="29">
        <v>95.63</v>
      </c>
      <c r="J191" s="28">
        <v>98.95</v>
      </c>
      <c r="K191" s="29">
        <v>99.34</v>
      </c>
      <c r="L191" s="29">
        <v>96.1</v>
      </c>
      <c r="M191" s="28">
        <v>94.59</v>
      </c>
      <c r="N191" s="46"/>
      <c r="O191" s="52"/>
      <c r="P191" s="53"/>
      <c r="Q191" s="53"/>
      <c r="R191" s="52"/>
      <c r="S191" s="52"/>
      <c r="T191" s="52"/>
      <c r="U191" s="52"/>
      <c r="V191" s="52"/>
    </row>
    <row r="192" spans="1:22" s="44" customFormat="1" x14ac:dyDescent="0.5">
      <c r="A192" s="43"/>
      <c r="B192" s="37" t="s">
        <v>183</v>
      </c>
      <c r="C192" s="42">
        <v>100</v>
      </c>
      <c r="D192" s="32">
        <v>100</v>
      </c>
      <c r="E192" s="32">
        <v>100</v>
      </c>
      <c r="F192" s="31">
        <v>100</v>
      </c>
      <c r="G192" s="32">
        <v>100</v>
      </c>
      <c r="H192" s="32">
        <v>100</v>
      </c>
      <c r="I192" s="32">
        <v>100</v>
      </c>
      <c r="J192" s="31">
        <v>100</v>
      </c>
      <c r="K192" s="32">
        <v>100</v>
      </c>
      <c r="L192" s="32">
        <v>100</v>
      </c>
      <c r="M192" s="31">
        <v>100</v>
      </c>
      <c r="N192" s="46"/>
      <c r="O192" s="52"/>
      <c r="P192" s="53"/>
      <c r="Q192" s="53"/>
      <c r="R192" s="52"/>
      <c r="S192" s="52"/>
      <c r="T192" s="52"/>
      <c r="U192" s="52"/>
      <c r="V192" s="52"/>
    </row>
    <row r="193" spans="1:22" s="44" customFormat="1" x14ac:dyDescent="0.5">
      <c r="A193" s="41">
        <v>2015</v>
      </c>
      <c r="B193" s="40" t="s">
        <v>184</v>
      </c>
      <c r="C193" s="39">
        <v>98.72</v>
      </c>
      <c r="D193" s="29">
        <v>101.12</v>
      </c>
      <c r="E193" s="29">
        <v>90.42</v>
      </c>
      <c r="F193" s="28">
        <v>100.53</v>
      </c>
      <c r="G193" s="29">
        <v>100.7</v>
      </c>
      <c r="H193" s="29">
        <v>101.02</v>
      </c>
      <c r="I193" s="29">
        <v>97.63</v>
      </c>
      <c r="J193" s="28">
        <v>100.81</v>
      </c>
      <c r="K193" s="29">
        <v>100.56</v>
      </c>
      <c r="L193" s="29">
        <v>101.04</v>
      </c>
      <c r="M193" s="28">
        <v>94</v>
      </c>
      <c r="N193" s="16">
        <f>(C193-C181)/C181</f>
        <v>3.7192687539398944E-2</v>
      </c>
      <c r="O193" s="14"/>
      <c r="P193" s="53"/>
      <c r="Q193" s="53"/>
      <c r="R193" s="52"/>
      <c r="S193" s="52"/>
      <c r="T193" s="52"/>
      <c r="U193" s="52"/>
      <c r="V193" s="52"/>
    </row>
    <row r="194" spans="1:22" s="44" customFormat="1" x14ac:dyDescent="0.5">
      <c r="A194" s="43"/>
      <c r="B194" s="37" t="s">
        <v>185</v>
      </c>
      <c r="C194" s="42">
        <v>96.77</v>
      </c>
      <c r="D194" s="32">
        <v>103.1</v>
      </c>
      <c r="E194" s="32">
        <v>77.44</v>
      </c>
      <c r="F194" s="31">
        <v>100.83</v>
      </c>
      <c r="G194" s="32">
        <v>100.61</v>
      </c>
      <c r="H194" s="32">
        <v>102.76</v>
      </c>
      <c r="I194" s="32">
        <v>85.87</v>
      </c>
      <c r="J194" s="31">
        <v>100.99</v>
      </c>
      <c r="K194" s="32">
        <v>100.61</v>
      </c>
      <c r="L194" s="32">
        <v>100.59</v>
      </c>
      <c r="M194" s="31">
        <v>86.93</v>
      </c>
      <c r="N194" s="46"/>
      <c r="O194" s="52"/>
      <c r="P194" s="53"/>
      <c r="Q194" s="53"/>
      <c r="R194" s="52"/>
      <c r="S194" s="52"/>
      <c r="T194" s="52"/>
      <c r="U194" s="52"/>
      <c r="V194" s="52"/>
    </row>
    <row r="195" spans="1:22" s="44" customFormat="1" x14ac:dyDescent="0.5">
      <c r="A195" s="41"/>
      <c r="B195" s="40" t="s">
        <v>186</v>
      </c>
      <c r="C195" s="39">
        <v>100.44</v>
      </c>
      <c r="D195" s="29">
        <v>105.64</v>
      </c>
      <c r="E195" s="29">
        <v>90.78</v>
      </c>
      <c r="F195" s="28">
        <v>102.06</v>
      </c>
      <c r="G195" s="29">
        <v>102.45</v>
      </c>
      <c r="H195" s="29">
        <v>105.02</v>
      </c>
      <c r="I195" s="29">
        <v>89.95</v>
      </c>
      <c r="J195" s="28">
        <v>102.66</v>
      </c>
      <c r="K195" s="29">
        <v>101.47</v>
      </c>
      <c r="L195" s="29">
        <v>104.77</v>
      </c>
      <c r="M195" s="28">
        <v>97.78</v>
      </c>
      <c r="N195" s="46"/>
      <c r="O195" s="52"/>
      <c r="P195" s="53"/>
      <c r="Q195" s="53"/>
      <c r="R195" s="52"/>
      <c r="S195" s="52"/>
      <c r="T195" s="52"/>
      <c r="U195" s="52"/>
      <c r="V195" s="52"/>
    </row>
    <row r="196" spans="1:22" s="44" customFormat="1" x14ac:dyDescent="0.5">
      <c r="A196" s="43"/>
      <c r="B196" s="37" t="s">
        <v>187</v>
      </c>
      <c r="C196" s="42">
        <v>99.08</v>
      </c>
      <c r="D196" s="32">
        <v>103.68</v>
      </c>
      <c r="E196" s="32">
        <v>86.52</v>
      </c>
      <c r="F196" s="31">
        <v>101.62</v>
      </c>
      <c r="G196" s="32">
        <v>102.1</v>
      </c>
      <c r="H196" s="32">
        <v>103.42</v>
      </c>
      <c r="I196" s="32">
        <v>92.04</v>
      </c>
      <c r="J196" s="31">
        <v>102.39</v>
      </c>
      <c r="K196" s="32">
        <v>101.51</v>
      </c>
      <c r="L196" s="32">
        <v>103.51</v>
      </c>
      <c r="M196" s="31">
        <v>92.87</v>
      </c>
      <c r="N196" s="46"/>
      <c r="O196" s="52"/>
      <c r="P196" s="53"/>
      <c r="Q196" s="53"/>
      <c r="R196" s="52"/>
      <c r="S196" s="52"/>
      <c r="T196" s="52"/>
      <c r="U196" s="52"/>
      <c r="V196" s="52"/>
    </row>
    <row r="197" spans="1:22" s="44" customFormat="1" x14ac:dyDescent="0.5">
      <c r="A197" s="41"/>
      <c r="B197" s="40" t="s">
        <v>188</v>
      </c>
      <c r="C197" s="39">
        <v>99.05</v>
      </c>
      <c r="D197" s="29">
        <v>101.82</v>
      </c>
      <c r="E197" s="29">
        <v>88.33</v>
      </c>
      <c r="F197" s="28">
        <v>101.45</v>
      </c>
      <c r="G197" s="29">
        <v>101.42</v>
      </c>
      <c r="H197" s="29">
        <v>101.64</v>
      </c>
      <c r="I197" s="29">
        <v>90.06</v>
      </c>
      <c r="J197" s="28">
        <v>101.94</v>
      </c>
      <c r="K197" s="29">
        <v>101.18</v>
      </c>
      <c r="L197" s="29">
        <v>101.98</v>
      </c>
      <c r="M197" s="28">
        <v>93.59</v>
      </c>
      <c r="N197" s="46"/>
      <c r="O197" s="52"/>
      <c r="P197" s="53"/>
      <c r="Q197" s="53"/>
      <c r="R197" s="52"/>
      <c r="S197" s="52"/>
      <c r="T197" s="52"/>
      <c r="U197" s="52"/>
      <c r="V197" s="52"/>
    </row>
    <row r="198" spans="1:22" s="44" customFormat="1" x14ac:dyDescent="0.5">
      <c r="A198" s="43"/>
      <c r="B198" s="37" t="s">
        <v>174</v>
      </c>
      <c r="C198" s="42">
        <v>101.07</v>
      </c>
      <c r="D198" s="32">
        <v>101.87</v>
      </c>
      <c r="E198" s="32">
        <v>96.38</v>
      </c>
      <c r="F198" s="31">
        <v>102.21</v>
      </c>
      <c r="G198" s="32">
        <v>102.32</v>
      </c>
      <c r="H198" s="32">
        <v>101.36</v>
      </c>
      <c r="I198" s="32">
        <v>96.42</v>
      </c>
      <c r="J198" s="31">
        <v>102.76</v>
      </c>
      <c r="K198" s="32">
        <v>101.62</v>
      </c>
      <c r="L198" s="32">
        <v>103.98</v>
      </c>
      <c r="M198" s="31">
        <v>99.69</v>
      </c>
      <c r="N198" s="46"/>
      <c r="O198" s="52"/>
      <c r="P198" s="53"/>
      <c r="Q198" s="53"/>
      <c r="R198" s="52"/>
      <c r="S198" s="52"/>
      <c r="T198" s="52"/>
      <c r="U198" s="52"/>
      <c r="V198" s="52"/>
    </row>
    <row r="199" spans="1:22" s="44" customFormat="1" x14ac:dyDescent="0.5">
      <c r="A199" s="41"/>
      <c r="B199" s="40" t="s">
        <v>176</v>
      </c>
      <c r="C199" s="39">
        <v>102.33</v>
      </c>
      <c r="D199" s="29">
        <v>102.54</v>
      </c>
      <c r="E199" s="29">
        <v>98.6</v>
      </c>
      <c r="F199" s="28">
        <v>103.32</v>
      </c>
      <c r="G199" s="29">
        <v>103.48</v>
      </c>
      <c r="H199" s="29">
        <v>101.82</v>
      </c>
      <c r="I199" s="29">
        <v>95.48</v>
      </c>
      <c r="J199" s="28">
        <v>104.15</v>
      </c>
      <c r="K199" s="29">
        <v>101.85</v>
      </c>
      <c r="L199" s="29">
        <v>107.35</v>
      </c>
      <c r="M199" s="28">
        <v>103.54</v>
      </c>
      <c r="N199" s="46"/>
      <c r="O199" s="52"/>
      <c r="P199" s="53"/>
      <c r="Q199" s="53"/>
      <c r="R199" s="52"/>
      <c r="S199" s="52"/>
      <c r="T199" s="52"/>
      <c r="U199" s="52"/>
      <c r="V199" s="52"/>
    </row>
    <row r="200" spans="1:22" s="44" customFormat="1" x14ac:dyDescent="0.5">
      <c r="A200" s="43"/>
      <c r="B200" s="37" t="s">
        <v>179</v>
      </c>
      <c r="C200" s="42">
        <v>104.39</v>
      </c>
      <c r="D200" s="32">
        <v>105.13</v>
      </c>
      <c r="E200" s="32">
        <v>101</v>
      </c>
      <c r="F200" s="31">
        <v>105.17</v>
      </c>
      <c r="G200" s="32">
        <v>105.77</v>
      </c>
      <c r="H200" s="32">
        <v>103.84</v>
      </c>
      <c r="I200" s="32">
        <v>96.51</v>
      </c>
      <c r="J200" s="31">
        <v>106.53</v>
      </c>
      <c r="K200" s="32">
        <v>102.65</v>
      </c>
      <c r="L200" s="32">
        <v>113.16</v>
      </c>
      <c r="M200" s="31">
        <v>108.84</v>
      </c>
      <c r="N200" s="46"/>
      <c r="O200" s="52"/>
      <c r="P200" s="53"/>
      <c r="Q200" s="53"/>
      <c r="R200" s="52"/>
      <c r="S200" s="52"/>
      <c r="T200" s="52"/>
      <c r="U200" s="52"/>
      <c r="V200" s="52"/>
    </row>
    <row r="201" spans="1:22" s="44" customFormat="1" x14ac:dyDescent="0.5">
      <c r="A201" s="41"/>
      <c r="B201" s="40" t="s">
        <v>180</v>
      </c>
      <c r="C201" s="39">
        <v>104.38</v>
      </c>
      <c r="D201" s="29">
        <v>107.41</v>
      </c>
      <c r="E201" s="29">
        <v>96.92</v>
      </c>
      <c r="F201" s="28">
        <v>105.84</v>
      </c>
      <c r="G201" s="29">
        <v>106.96</v>
      </c>
      <c r="H201" s="29">
        <v>106.47</v>
      </c>
      <c r="I201" s="29">
        <v>95.05</v>
      </c>
      <c r="J201" s="28">
        <v>107.63</v>
      </c>
      <c r="K201" s="29">
        <v>103.69</v>
      </c>
      <c r="L201" s="29">
        <v>114.72</v>
      </c>
      <c r="M201" s="28">
        <v>106.17</v>
      </c>
      <c r="N201" s="46"/>
      <c r="O201" s="52"/>
      <c r="P201" s="53"/>
      <c r="Q201" s="53"/>
      <c r="R201" s="52"/>
      <c r="S201" s="52"/>
      <c r="T201" s="52"/>
      <c r="U201" s="52"/>
      <c r="V201" s="52"/>
    </row>
    <row r="202" spans="1:22" s="44" customFormat="1" x14ac:dyDescent="0.5">
      <c r="A202" s="43"/>
      <c r="B202" s="37" t="s">
        <v>181</v>
      </c>
      <c r="C202" s="42">
        <v>103.37</v>
      </c>
      <c r="D202" s="32">
        <v>110.14</v>
      </c>
      <c r="E202" s="32">
        <v>90.55</v>
      </c>
      <c r="F202" s="31">
        <v>105.55</v>
      </c>
      <c r="G202" s="32">
        <v>106.94</v>
      </c>
      <c r="H202" s="32">
        <v>109.53</v>
      </c>
      <c r="I202" s="32">
        <v>92.66</v>
      </c>
      <c r="J202" s="31">
        <v>107.22</v>
      </c>
      <c r="K202" s="32">
        <v>104.55</v>
      </c>
      <c r="L202" s="32">
        <v>112.59</v>
      </c>
      <c r="M202" s="31">
        <v>100.37</v>
      </c>
      <c r="N202" s="46"/>
      <c r="O202" s="52"/>
      <c r="P202" s="53"/>
      <c r="Q202" s="53"/>
      <c r="R202" s="52"/>
      <c r="S202" s="52"/>
      <c r="T202" s="52"/>
      <c r="U202" s="52"/>
      <c r="V202" s="52"/>
    </row>
    <row r="203" spans="1:22" s="44" customFormat="1" x14ac:dyDescent="0.5">
      <c r="A203" s="41"/>
      <c r="B203" s="40" t="s">
        <v>182</v>
      </c>
      <c r="C203" s="39">
        <v>103.89</v>
      </c>
      <c r="D203" s="29">
        <v>111.9</v>
      </c>
      <c r="E203" s="29">
        <v>90.25</v>
      </c>
      <c r="F203" s="28">
        <v>106.05</v>
      </c>
      <c r="G203" s="29">
        <v>107.59</v>
      </c>
      <c r="H203" s="29">
        <v>111.19</v>
      </c>
      <c r="I203" s="29">
        <v>91.86</v>
      </c>
      <c r="J203" s="28">
        <v>107.79</v>
      </c>
      <c r="K203" s="29">
        <v>105</v>
      </c>
      <c r="L203" s="29">
        <v>113.73</v>
      </c>
      <c r="M203" s="28">
        <v>101.05</v>
      </c>
      <c r="N203" s="46"/>
      <c r="O203" s="52"/>
      <c r="P203" s="53"/>
      <c r="Q203" s="53"/>
      <c r="R203" s="52"/>
      <c r="S203" s="52"/>
      <c r="T203" s="52"/>
      <c r="U203" s="52"/>
      <c r="V203" s="52"/>
    </row>
    <row r="204" spans="1:22" s="44" customFormat="1" x14ac:dyDescent="0.5">
      <c r="A204" s="43"/>
      <c r="B204" s="37" t="s">
        <v>183</v>
      </c>
      <c r="C204" s="42">
        <v>105.48</v>
      </c>
      <c r="D204" s="32">
        <v>115.55</v>
      </c>
      <c r="E204" s="32">
        <v>90.69</v>
      </c>
      <c r="F204" s="31">
        <v>107.54</v>
      </c>
      <c r="G204" s="32">
        <v>109.57</v>
      </c>
      <c r="H204" s="32">
        <v>114.08</v>
      </c>
      <c r="I204" s="32">
        <v>94.15</v>
      </c>
      <c r="J204" s="31">
        <v>109.61</v>
      </c>
      <c r="K204" s="32">
        <v>106</v>
      </c>
      <c r="L204" s="32">
        <v>118.04</v>
      </c>
      <c r="M204" s="31">
        <v>104.15</v>
      </c>
      <c r="N204" s="46"/>
      <c r="O204" s="52"/>
      <c r="P204" s="53"/>
      <c r="Q204" s="53"/>
      <c r="R204" s="52"/>
      <c r="S204" s="52"/>
      <c r="T204" s="52"/>
      <c r="U204" s="52"/>
      <c r="V204" s="52"/>
    </row>
    <row r="205" spans="1:22" s="44" customFormat="1" x14ac:dyDescent="0.5">
      <c r="A205" s="41">
        <v>2016</v>
      </c>
      <c r="B205" s="40" t="s">
        <v>184</v>
      </c>
      <c r="C205" s="39">
        <v>105.32</v>
      </c>
      <c r="D205" s="29">
        <v>119.39</v>
      </c>
      <c r="E205" s="29">
        <v>83.66</v>
      </c>
      <c r="F205" s="28">
        <v>108.47</v>
      </c>
      <c r="G205" s="29">
        <v>110.77</v>
      </c>
      <c r="H205" s="29">
        <v>118.1</v>
      </c>
      <c r="I205" s="29">
        <v>91.27</v>
      </c>
      <c r="J205" s="28">
        <v>110.55</v>
      </c>
      <c r="K205" s="29">
        <v>107.48</v>
      </c>
      <c r="L205" s="29">
        <v>118.56</v>
      </c>
      <c r="M205" s="28">
        <v>99.8</v>
      </c>
      <c r="N205" s="16">
        <f>(C205-C193)/C193</f>
        <v>6.685575364667741E-2</v>
      </c>
      <c r="O205" s="14"/>
      <c r="P205" s="53"/>
      <c r="Q205" s="53"/>
      <c r="R205" s="52"/>
      <c r="S205" s="52"/>
      <c r="T205" s="52"/>
      <c r="U205" s="52"/>
      <c r="V205" s="52"/>
    </row>
    <row r="206" spans="1:22" s="44" customFormat="1" x14ac:dyDescent="0.5">
      <c r="A206" s="43"/>
      <c r="B206" s="37" t="s">
        <v>185</v>
      </c>
      <c r="C206" s="42">
        <v>105.74</v>
      </c>
      <c r="D206" s="32">
        <v>121.56</v>
      </c>
      <c r="E206" s="32">
        <v>80.22</v>
      </c>
      <c r="F206" s="31">
        <v>109.61</v>
      </c>
      <c r="G206" s="32">
        <v>111.68</v>
      </c>
      <c r="H206" s="32">
        <v>118.58</v>
      </c>
      <c r="I206" s="32">
        <v>91.53</v>
      </c>
      <c r="J206" s="31">
        <v>111.57</v>
      </c>
      <c r="K206" s="32">
        <v>108.15</v>
      </c>
      <c r="L206" s="32">
        <v>120.05</v>
      </c>
      <c r="M206" s="31">
        <v>99.57</v>
      </c>
      <c r="N206" s="46"/>
      <c r="O206" s="52"/>
      <c r="P206" s="53"/>
      <c r="Q206" s="53"/>
      <c r="R206" s="52"/>
      <c r="S206" s="52"/>
      <c r="T206" s="52"/>
      <c r="U206" s="52"/>
      <c r="V206" s="52"/>
    </row>
    <row r="207" spans="1:22" s="44" customFormat="1" x14ac:dyDescent="0.5">
      <c r="A207" s="41"/>
      <c r="B207" s="40" t="s">
        <v>186</v>
      </c>
      <c r="C207" s="39">
        <v>106.19</v>
      </c>
      <c r="D207" s="29">
        <v>121.18</v>
      </c>
      <c r="E207" s="29">
        <v>84.83</v>
      </c>
      <c r="F207" s="28">
        <v>109.08</v>
      </c>
      <c r="G207" s="29">
        <v>111.22</v>
      </c>
      <c r="H207" s="29">
        <v>119.69</v>
      </c>
      <c r="I207" s="29">
        <v>96.29</v>
      </c>
      <c r="J207" s="28">
        <v>110.59</v>
      </c>
      <c r="K207" s="29">
        <v>108.85</v>
      </c>
      <c r="L207" s="29">
        <v>116.82</v>
      </c>
      <c r="M207" s="28">
        <v>99.39</v>
      </c>
      <c r="N207" s="46"/>
      <c r="O207" s="52"/>
      <c r="P207" s="53"/>
      <c r="Q207" s="53"/>
      <c r="R207" s="52"/>
      <c r="S207" s="52"/>
      <c r="T207" s="52"/>
      <c r="U207" s="52"/>
      <c r="V207" s="52"/>
    </row>
    <row r="208" spans="1:22" s="44" customFormat="1" x14ac:dyDescent="0.5">
      <c r="A208" s="43"/>
      <c r="B208" s="37" t="s">
        <v>187</v>
      </c>
      <c r="C208" s="42">
        <v>105.76</v>
      </c>
      <c r="D208" s="32">
        <v>122.56</v>
      </c>
      <c r="E208" s="32">
        <v>83.05</v>
      </c>
      <c r="F208" s="31">
        <v>108.65</v>
      </c>
      <c r="G208" s="32">
        <v>110.86</v>
      </c>
      <c r="H208" s="32">
        <v>121.51</v>
      </c>
      <c r="I208" s="32">
        <v>96.58</v>
      </c>
      <c r="J208" s="31">
        <v>109.86</v>
      </c>
      <c r="K208" s="32">
        <v>109.52</v>
      </c>
      <c r="L208" s="32">
        <v>114.04</v>
      </c>
      <c r="M208" s="31">
        <v>96.15</v>
      </c>
      <c r="N208" s="46"/>
      <c r="O208" s="52"/>
      <c r="P208" s="53"/>
      <c r="Q208" s="53"/>
      <c r="R208" s="52"/>
      <c r="S208" s="52"/>
      <c r="T208" s="52"/>
      <c r="U208" s="52"/>
      <c r="V208" s="52"/>
    </row>
    <row r="209" spans="1:22" s="44" customFormat="1" x14ac:dyDescent="0.5">
      <c r="A209" s="41"/>
      <c r="B209" s="40" t="s">
        <v>188</v>
      </c>
      <c r="C209" s="39">
        <v>107.12</v>
      </c>
      <c r="D209" s="29">
        <v>125.29</v>
      </c>
      <c r="E209" s="29">
        <v>86.8</v>
      </c>
      <c r="F209" s="28">
        <v>109.07</v>
      </c>
      <c r="G209" s="29">
        <v>111.52</v>
      </c>
      <c r="H209" s="29">
        <v>124.11</v>
      </c>
      <c r="I209" s="29">
        <v>98.98</v>
      </c>
      <c r="J209" s="28">
        <v>110.11</v>
      </c>
      <c r="K209" s="29">
        <v>110.58</v>
      </c>
      <c r="L209" s="29">
        <v>113.73</v>
      </c>
      <c r="M209" s="28">
        <v>98.27</v>
      </c>
      <c r="N209" s="46"/>
      <c r="O209" s="52"/>
      <c r="P209" s="53"/>
      <c r="Q209" s="53"/>
      <c r="R209" s="52"/>
      <c r="S209" s="52"/>
      <c r="T209" s="52"/>
      <c r="U209" s="52"/>
      <c r="V209" s="52"/>
    </row>
    <row r="210" spans="1:22" s="44" customFormat="1" x14ac:dyDescent="0.5">
      <c r="A210" s="43"/>
      <c r="B210" s="37" t="s">
        <v>174</v>
      </c>
      <c r="C210" s="42">
        <v>108.1</v>
      </c>
      <c r="D210" s="32">
        <v>126.85</v>
      </c>
      <c r="E210" s="32">
        <v>89.07</v>
      </c>
      <c r="F210" s="31">
        <v>109.57</v>
      </c>
      <c r="G210" s="32">
        <v>112.18</v>
      </c>
      <c r="H210" s="32">
        <v>126.01</v>
      </c>
      <c r="I210" s="32">
        <v>100.63</v>
      </c>
      <c r="J210" s="31">
        <v>110.53</v>
      </c>
      <c r="K210" s="32">
        <v>111.26</v>
      </c>
      <c r="L210" s="32">
        <v>114.37</v>
      </c>
      <c r="M210" s="31">
        <v>100.01</v>
      </c>
      <c r="N210" s="46"/>
      <c r="O210" s="52"/>
      <c r="P210" s="53"/>
      <c r="Q210" s="53"/>
      <c r="R210" s="52"/>
      <c r="S210" s="52"/>
      <c r="T210" s="52"/>
      <c r="U210" s="52"/>
      <c r="V210" s="52"/>
    </row>
    <row r="211" spans="1:22" s="44" customFormat="1" x14ac:dyDescent="0.5">
      <c r="A211" s="41"/>
      <c r="B211" s="40" t="s">
        <v>176</v>
      </c>
      <c r="C211" s="39">
        <v>108.38</v>
      </c>
      <c r="D211" s="29">
        <v>127.6</v>
      </c>
      <c r="E211" s="29">
        <v>89.09</v>
      </c>
      <c r="F211" s="28">
        <v>109.83</v>
      </c>
      <c r="G211" s="29">
        <v>112.15</v>
      </c>
      <c r="H211" s="29">
        <v>126.79</v>
      </c>
      <c r="I211" s="29">
        <v>99.91</v>
      </c>
      <c r="J211" s="28">
        <v>110.4</v>
      </c>
      <c r="K211" s="29">
        <v>111.54</v>
      </c>
      <c r="L211" s="29">
        <v>113.59</v>
      </c>
      <c r="M211" s="28">
        <v>100.29</v>
      </c>
      <c r="N211" s="46"/>
      <c r="O211" s="52"/>
      <c r="P211" s="53"/>
      <c r="Q211" s="53"/>
      <c r="R211" s="52"/>
      <c r="S211" s="52"/>
      <c r="T211" s="52"/>
      <c r="U211" s="52"/>
      <c r="V211" s="52"/>
    </row>
    <row r="212" spans="1:22" s="44" customFormat="1" x14ac:dyDescent="0.5">
      <c r="A212" s="43"/>
      <c r="B212" s="37" t="s">
        <v>179</v>
      </c>
      <c r="C212" s="42">
        <v>107.15</v>
      </c>
      <c r="D212" s="32">
        <v>118.43</v>
      </c>
      <c r="E212" s="32">
        <v>88.55</v>
      </c>
      <c r="F212" s="31">
        <v>110.02</v>
      </c>
      <c r="G212" s="32">
        <v>110.94</v>
      </c>
      <c r="H212" s="32">
        <v>117.75</v>
      </c>
      <c r="I212" s="32">
        <v>97.33</v>
      </c>
      <c r="J212" s="31">
        <v>110.52</v>
      </c>
      <c r="K212" s="32">
        <v>109.75</v>
      </c>
      <c r="L212" s="32">
        <v>113.76</v>
      </c>
      <c r="M212" s="31">
        <v>100.5</v>
      </c>
      <c r="N212" s="46"/>
      <c r="O212" s="52"/>
      <c r="P212" s="53"/>
      <c r="Q212" s="53"/>
      <c r="R212" s="52"/>
      <c r="S212" s="52"/>
      <c r="T212" s="52"/>
      <c r="U212" s="52"/>
      <c r="V212" s="52"/>
    </row>
    <row r="213" spans="1:22" s="44" customFormat="1" x14ac:dyDescent="0.5">
      <c r="A213" s="41"/>
      <c r="B213" s="40" t="s">
        <v>180</v>
      </c>
      <c r="C213" s="39">
        <v>106.9</v>
      </c>
      <c r="D213" s="29">
        <v>116.91</v>
      </c>
      <c r="E213" s="29">
        <v>88.41</v>
      </c>
      <c r="F213" s="28">
        <v>109.99</v>
      </c>
      <c r="G213" s="29">
        <v>110.58</v>
      </c>
      <c r="H213" s="29">
        <v>116.14</v>
      </c>
      <c r="I213" s="29">
        <v>97.44</v>
      </c>
      <c r="J213" s="28">
        <v>110.33</v>
      </c>
      <c r="K213" s="29">
        <v>109.6</v>
      </c>
      <c r="L213" s="29">
        <v>112.89</v>
      </c>
      <c r="M213" s="28">
        <v>99.971929612642896</v>
      </c>
      <c r="N213" s="46"/>
      <c r="O213" s="52"/>
      <c r="P213" s="53"/>
      <c r="Q213" s="53"/>
      <c r="R213" s="52"/>
      <c r="S213" s="52"/>
      <c r="T213" s="52"/>
      <c r="U213" s="52"/>
      <c r="V213" s="52"/>
    </row>
    <row r="214" spans="1:22" s="44" customFormat="1" x14ac:dyDescent="0.5">
      <c r="A214" s="43"/>
      <c r="B214" s="37" t="s">
        <v>181</v>
      </c>
      <c r="C214" s="42">
        <v>107.19</v>
      </c>
      <c r="D214" s="32">
        <v>116.59</v>
      </c>
      <c r="E214" s="32">
        <v>90.57</v>
      </c>
      <c r="F214" s="31">
        <v>109.88</v>
      </c>
      <c r="G214" s="32">
        <v>110.66</v>
      </c>
      <c r="H214" s="32">
        <v>115.84</v>
      </c>
      <c r="I214" s="32">
        <v>101.29</v>
      </c>
      <c r="J214" s="31">
        <v>110.29</v>
      </c>
      <c r="K214" s="32">
        <v>109.73</v>
      </c>
      <c r="L214" s="32">
        <v>112.86</v>
      </c>
      <c r="M214" s="31">
        <v>100.67</v>
      </c>
      <c r="N214" s="46"/>
      <c r="O214" s="52"/>
      <c r="P214" s="53"/>
      <c r="Q214" s="53"/>
      <c r="R214" s="52"/>
      <c r="S214" s="52"/>
      <c r="T214" s="52"/>
      <c r="U214" s="52"/>
      <c r="V214" s="52"/>
    </row>
    <row r="215" spans="1:22" s="44" customFormat="1" x14ac:dyDescent="0.5">
      <c r="A215" s="41"/>
      <c r="B215" s="40" t="s">
        <v>182</v>
      </c>
      <c r="C215" s="39">
        <v>109.24</v>
      </c>
      <c r="D215" s="29">
        <v>116.96</v>
      </c>
      <c r="E215" s="29">
        <v>96.69</v>
      </c>
      <c r="F215" s="28">
        <v>111.15</v>
      </c>
      <c r="G215" s="29">
        <v>111.8</v>
      </c>
      <c r="H215" s="29">
        <v>115.83</v>
      </c>
      <c r="I215" s="29">
        <v>105.27</v>
      </c>
      <c r="J215" s="28">
        <v>111.47</v>
      </c>
      <c r="K215" s="29">
        <v>110.1</v>
      </c>
      <c r="L215" s="29">
        <v>115.81</v>
      </c>
      <c r="M215" s="28">
        <v>107.03</v>
      </c>
      <c r="N215" s="46"/>
      <c r="O215" s="52"/>
      <c r="P215" s="53"/>
      <c r="Q215" s="53"/>
      <c r="R215" s="52"/>
      <c r="S215" s="52"/>
      <c r="T215" s="52"/>
      <c r="U215" s="52"/>
      <c r="V215" s="52"/>
    </row>
    <row r="216" spans="1:22" s="44" customFormat="1" x14ac:dyDescent="0.5">
      <c r="A216" s="43"/>
      <c r="B216" s="37" t="s">
        <v>183</v>
      </c>
      <c r="C216" s="42">
        <v>107.76</v>
      </c>
      <c r="D216" s="32">
        <v>116.76</v>
      </c>
      <c r="E216" s="32">
        <v>91.1</v>
      </c>
      <c r="F216" s="31">
        <v>110.56</v>
      </c>
      <c r="G216" s="32">
        <v>111.34</v>
      </c>
      <c r="H216" s="32">
        <v>115.7</v>
      </c>
      <c r="I216" s="32">
        <v>102.43</v>
      </c>
      <c r="J216" s="31">
        <v>111.09</v>
      </c>
      <c r="K216" s="32">
        <v>110.08</v>
      </c>
      <c r="L216" s="32">
        <v>114.35</v>
      </c>
      <c r="M216" s="31">
        <v>101.84</v>
      </c>
      <c r="N216" s="46"/>
      <c r="O216" s="52"/>
      <c r="P216" s="53"/>
      <c r="Q216" s="53"/>
      <c r="R216" s="52"/>
      <c r="S216" s="52"/>
      <c r="T216" s="52"/>
      <c r="U216" s="52"/>
      <c r="V216" s="52"/>
    </row>
    <row r="217" spans="1:22" s="44" customFormat="1" x14ac:dyDescent="0.5">
      <c r="A217" s="41">
        <v>2017</v>
      </c>
      <c r="B217" s="40" t="s">
        <v>184</v>
      </c>
      <c r="C217" s="39">
        <v>108.12</v>
      </c>
      <c r="D217" s="29">
        <v>118.57</v>
      </c>
      <c r="E217" s="29">
        <v>90.66</v>
      </c>
      <c r="F217" s="28">
        <v>110.84</v>
      </c>
      <c r="G217" s="29">
        <v>111.74</v>
      </c>
      <c r="H217" s="29">
        <v>117.5</v>
      </c>
      <c r="I217" s="29">
        <v>103.04</v>
      </c>
      <c r="J217" s="28">
        <v>111.24</v>
      </c>
      <c r="K217" s="29">
        <v>110.95</v>
      </c>
      <c r="L217" s="29">
        <v>113.62</v>
      </c>
      <c r="M217" s="28">
        <v>100.88</v>
      </c>
      <c r="N217" s="16">
        <f>(C217-C205)/C205</f>
        <v>2.6585643752373829E-2</v>
      </c>
      <c r="O217" s="14"/>
      <c r="P217" s="53"/>
      <c r="Q217" s="53"/>
      <c r="R217" s="52"/>
      <c r="S217" s="52"/>
      <c r="T217" s="52"/>
      <c r="U217" s="52"/>
      <c r="V217" s="52"/>
    </row>
    <row r="218" spans="1:22" s="44" customFormat="1" x14ac:dyDescent="0.5">
      <c r="A218" s="43"/>
      <c r="B218" s="37" t="s">
        <v>185</v>
      </c>
      <c r="C218" s="42">
        <v>107.48</v>
      </c>
      <c r="D218" s="32">
        <v>117.65</v>
      </c>
      <c r="E218" s="32">
        <v>88.15</v>
      </c>
      <c r="F218" s="31">
        <v>110.78</v>
      </c>
      <c r="G218" s="32">
        <v>111.5</v>
      </c>
      <c r="H218" s="32">
        <v>116.34</v>
      </c>
      <c r="I218" s="32">
        <v>102.24</v>
      </c>
      <c r="J218" s="31">
        <v>111.17</v>
      </c>
      <c r="K218" s="32">
        <v>111</v>
      </c>
      <c r="L218" s="32">
        <v>112.67</v>
      </c>
      <c r="M218" s="31">
        <v>98.49</v>
      </c>
      <c r="N218" s="46"/>
      <c r="O218" s="52"/>
      <c r="P218" s="53"/>
      <c r="Q218" s="53"/>
      <c r="R218" s="52"/>
      <c r="S218" s="52"/>
      <c r="T218" s="52"/>
      <c r="U218" s="52"/>
      <c r="V218" s="52"/>
    </row>
    <row r="219" spans="1:22" s="44" customFormat="1" x14ac:dyDescent="0.5">
      <c r="A219" s="41"/>
      <c r="B219" s="40" t="s">
        <v>186</v>
      </c>
      <c r="C219" s="39">
        <v>107.31</v>
      </c>
      <c r="D219" s="29">
        <v>118.39</v>
      </c>
      <c r="E219" s="29">
        <v>85.84</v>
      </c>
      <c r="F219" s="28">
        <v>111.02</v>
      </c>
      <c r="G219" s="29">
        <v>111.83</v>
      </c>
      <c r="H219" s="29">
        <v>117.57</v>
      </c>
      <c r="I219" s="29">
        <v>101.6</v>
      </c>
      <c r="J219" s="28">
        <v>111.41</v>
      </c>
      <c r="K219" s="29">
        <v>111.04</v>
      </c>
      <c r="L219" s="29">
        <v>113.71</v>
      </c>
      <c r="M219" s="28">
        <v>97.8</v>
      </c>
      <c r="N219" s="46"/>
      <c r="O219" s="52"/>
      <c r="P219" s="53"/>
      <c r="Q219" s="53"/>
      <c r="R219" s="52"/>
      <c r="S219" s="52"/>
      <c r="T219" s="52"/>
      <c r="U219" s="52"/>
      <c r="V219" s="52"/>
    </row>
    <row r="220" spans="1:22" s="44" customFormat="1" x14ac:dyDescent="0.5">
      <c r="A220" s="43"/>
      <c r="B220" s="37" t="s">
        <v>187</v>
      </c>
      <c r="C220" s="42">
        <v>106.87</v>
      </c>
      <c r="D220" s="32">
        <v>118.11</v>
      </c>
      <c r="E220" s="32">
        <v>85.88</v>
      </c>
      <c r="F220" s="31">
        <v>110.41</v>
      </c>
      <c r="G220" s="32">
        <v>111.29</v>
      </c>
      <c r="H220" s="32">
        <v>117.1</v>
      </c>
      <c r="I220" s="32">
        <v>102.92</v>
      </c>
      <c r="J220" s="31">
        <v>110.77</v>
      </c>
      <c r="K220" s="32">
        <v>110.88</v>
      </c>
      <c r="L220" s="32">
        <v>112.26</v>
      </c>
      <c r="M220" s="31">
        <v>96.62</v>
      </c>
      <c r="N220" s="46"/>
      <c r="O220" s="52"/>
      <c r="P220" s="53"/>
      <c r="Q220" s="53"/>
      <c r="R220" s="52"/>
      <c r="S220" s="52"/>
      <c r="T220" s="52"/>
      <c r="U220" s="52"/>
      <c r="V220" s="52"/>
    </row>
    <row r="221" spans="1:22" s="44" customFormat="1" x14ac:dyDescent="0.5">
      <c r="A221" s="41"/>
      <c r="B221" s="40" t="s">
        <v>188</v>
      </c>
      <c r="C221" s="39">
        <v>106.39</v>
      </c>
      <c r="D221" s="29">
        <v>117.45</v>
      </c>
      <c r="E221" s="29">
        <v>83.38</v>
      </c>
      <c r="F221" s="28">
        <v>110.52</v>
      </c>
      <c r="G221" s="29">
        <v>111.33</v>
      </c>
      <c r="H221" s="29">
        <v>116.11</v>
      </c>
      <c r="I221" s="29">
        <v>102.05</v>
      </c>
      <c r="J221" s="28">
        <v>111.02</v>
      </c>
      <c r="K221" s="29">
        <v>110.59</v>
      </c>
      <c r="L221" s="29">
        <v>113.1</v>
      </c>
      <c r="M221" s="28">
        <v>95.66</v>
      </c>
      <c r="N221" s="46"/>
      <c r="O221" s="52"/>
      <c r="P221" s="53"/>
      <c r="Q221" s="53"/>
      <c r="R221" s="52"/>
      <c r="S221" s="52"/>
      <c r="T221" s="52"/>
      <c r="U221" s="52"/>
      <c r="V221" s="52"/>
    </row>
    <row r="222" spans="1:22" s="44" customFormat="1" x14ac:dyDescent="0.5">
      <c r="A222" s="43"/>
      <c r="B222" s="37" t="s">
        <v>174</v>
      </c>
      <c r="C222" s="42">
        <v>105.86</v>
      </c>
      <c r="D222" s="32">
        <v>117.11</v>
      </c>
      <c r="E222" s="32">
        <v>81.03</v>
      </c>
      <c r="F222" s="31">
        <v>110.46</v>
      </c>
      <c r="G222" s="32">
        <v>111.24</v>
      </c>
      <c r="H222" s="32">
        <v>115.76</v>
      </c>
      <c r="I222" s="32">
        <v>98.25</v>
      </c>
      <c r="J222" s="31">
        <v>111.16</v>
      </c>
      <c r="K222" s="32">
        <v>110.25</v>
      </c>
      <c r="L222" s="32">
        <v>113.61</v>
      </c>
      <c r="M222" s="31">
        <v>94.64</v>
      </c>
      <c r="N222" s="46"/>
      <c r="O222" s="52"/>
      <c r="P222" s="53"/>
      <c r="Q222" s="53"/>
      <c r="R222" s="52"/>
      <c r="S222" s="52"/>
      <c r="T222" s="52"/>
      <c r="U222" s="52"/>
      <c r="V222" s="52"/>
    </row>
    <row r="223" spans="1:22" s="44" customFormat="1" x14ac:dyDescent="0.5">
      <c r="A223" s="41"/>
      <c r="B223" s="40" t="s">
        <v>176</v>
      </c>
      <c r="C223" s="39">
        <v>107.1</v>
      </c>
      <c r="D223" s="29">
        <v>116.98</v>
      </c>
      <c r="E223" s="29">
        <v>86.04</v>
      </c>
      <c r="F223" s="28">
        <v>110.93</v>
      </c>
      <c r="G223" s="29">
        <v>111.81</v>
      </c>
      <c r="H223" s="29">
        <v>115.49</v>
      </c>
      <c r="I223" s="29">
        <v>104.3</v>
      </c>
      <c r="J223" s="28">
        <v>111.59</v>
      </c>
      <c r="K223" s="29">
        <v>110.48</v>
      </c>
      <c r="L223" s="29">
        <v>114.97</v>
      </c>
      <c r="M223" s="28">
        <v>98.45</v>
      </c>
      <c r="N223" s="46"/>
      <c r="O223" s="52"/>
      <c r="P223" s="53"/>
      <c r="Q223" s="53"/>
      <c r="R223" s="52"/>
      <c r="S223" s="52"/>
      <c r="T223" s="52"/>
      <c r="U223" s="52"/>
      <c r="V223" s="52"/>
    </row>
    <row r="224" spans="1:22" s="44" customFormat="1" x14ac:dyDescent="0.5">
      <c r="A224" s="43"/>
      <c r="B224" s="37" t="s">
        <v>179</v>
      </c>
      <c r="C224" s="42">
        <v>107.7</v>
      </c>
      <c r="D224" s="32">
        <v>117.03</v>
      </c>
      <c r="E224" s="32">
        <v>88.89</v>
      </c>
      <c r="F224" s="31">
        <v>111.02</v>
      </c>
      <c r="G224" s="32">
        <v>112</v>
      </c>
      <c r="H224" s="32">
        <v>115.91</v>
      </c>
      <c r="I224" s="32">
        <v>109.14</v>
      </c>
      <c r="J224" s="31">
        <v>111.51</v>
      </c>
      <c r="K224" s="32">
        <v>111.17</v>
      </c>
      <c r="L224" s="32">
        <v>113.96</v>
      </c>
      <c r="M224" s="31">
        <v>98.83</v>
      </c>
      <c r="N224" s="46"/>
      <c r="O224" s="52"/>
      <c r="P224" s="53"/>
      <c r="Q224" s="53"/>
      <c r="R224" s="52"/>
      <c r="S224" s="52"/>
      <c r="T224" s="52"/>
      <c r="U224" s="52"/>
      <c r="V224" s="52"/>
    </row>
    <row r="225" spans="1:22" s="44" customFormat="1" x14ac:dyDescent="0.5">
      <c r="A225" s="41"/>
      <c r="B225" s="40" t="s">
        <v>180</v>
      </c>
      <c r="C225" s="39">
        <v>108.17</v>
      </c>
      <c r="D225" s="29">
        <v>115.35</v>
      </c>
      <c r="E225" s="29">
        <v>91.48</v>
      </c>
      <c r="F225" s="28">
        <v>111.34</v>
      </c>
      <c r="G225" s="29">
        <v>111.88</v>
      </c>
      <c r="H225" s="29">
        <v>114.51</v>
      </c>
      <c r="I225" s="29">
        <v>112.12</v>
      </c>
      <c r="J225" s="28">
        <v>111.44</v>
      </c>
      <c r="K225" s="29">
        <v>111.3</v>
      </c>
      <c r="L225" s="29">
        <v>113.25</v>
      </c>
      <c r="M225" s="28">
        <v>100.18</v>
      </c>
      <c r="N225" s="46"/>
      <c r="O225" s="52"/>
      <c r="P225" s="53"/>
      <c r="Q225" s="53"/>
      <c r="R225" s="52"/>
      <c r="S225" s="52"/>
      <c r="T225" s="52"/>
      <c r="U225" s="52"/>
      <c r="V225" s="52"/>
    </row>
    <row r="226" spans="1:22" s="44" customFormat="1" x14ac:dyDescent="0.5">
      <c r="A226" s="43"/>
      <c r="B226" s="37" t="s">
        <v>181</v>
      </c>
      <c r="C226" s="42">
        <v>109.04</v>
      </c>
      <c r="D226" s="32">
        <v>116.19</v>
      </c>
      <c r="E226" s="32">
        <v>94.73</v>
      </c>
      <c r="F226" s="31">
        <v>111.55</v>
      </c>
      <c r="G226" s="32">
        <v>112.19</v>
      </c>
      <c r="H226" s="32">
        <v>115.21</v>
      </c>
      <c r="I226" s="32">
        <v>115.15</v>
      </c>
      <c r="J226" s="31">
        <v>111.56</v>
      </c>
      <c r="K226" s="32">
        <v>111.5</v>
      </c>
      <c r="L226" s="32">
        <v>113.82</v>
      </c>
      <c r="M226" s="31">
        <v>102.74</v>
      </c>
      <c r="N226" s="46"/>
      <c r="O226" s="52"/>
      <c r="P226" s="53"/>
      <c r="Q226" s="53"/>
      <c r="R226" s="52"/>
      <c r="S226" s="52"/>
      <c r="T226" s="52"/>
      <c r="U226" s="52"/>
      <c r="V226" s="52"/>
    </row>
    <row r="227" spans="1:22" s="44" customFormat="1" x14ac:dyDescent="0.5">
      <c r="A227" s="41"/>
      <c r="B227" s="40" t="s">
        <v>182</v>
      </c>
      <c r="C227" s="39">
        <v>110.76</v>
      </c>
      <c r="D227" s="29">
        <v>117.34</v>
      </c>
      <c r="E227" s="29">
        <v>101.85</v>
      </c>
      <c r="F227" s="28">
        <v>111.9</v>
      </c>
      <c r="G227" s="29">
        <v>113.26</v>
      </c>
      <c r="H227" s="29">
        <v>116.2</v>
      </c>
      <c r="I227" s="29">
        <v>125.79</v>
      </c>
      <c r="J227" s="28">
        <v>112.16</v>
      </c>
      <c r="K227" s="29">
        <v>112.48</v>
      </c>
      <c r="L227" s="29">
        <v>115.09</v>
      </c>
      <c r="M227" s="28">
        <v>106.35</v>
      </c>
      <c r="N227" s="46"/>
      <c r="O227" s="52"/>
      <c r="P227" s="53"/>
      <c r="Q227" s="53"/>
      <c r="R227" s="52"/>
      <c r="S227" s="52"/>
      <c r="T227" s="52"/>
      <c r="U227" s="52"/>
      <c r="V227" s="52"/>
    </row>
    <row r="228" spans="1:22" s="48" customFormat="1" x14ac:dyDescent="0.5">
      <c r="A228" s="43"/>
      <c r="B228" s="37" t="s">
        <v>183</v>
      </c>
      <c r="C228" s="42">
        <v>111.29</v>
      </c>
      <c r="D228" s="32">
        <v>117.77</v>
      </c>
      <c r="E228" s="32">
        <v>103.71</v>
      </c>
      <c r="F228" s="31">
        <v>112.07</v>
      </c>
      <c r="G228" s="32">
        <v>113.41</v>
      </c>
      <c r="H228" s="32">
        <v>116.42</v>
      </c>
      <c r="I228" s="32">
        <v>126.22</v>
      </c>
      <c r="J228" s="31">
        <v>112.29</v>
      </c>
      <c r="K228" s="32">
        <v>112.83</v>
      </c>
      <c r="L228" s="32">
        <v>114.78</v>
      </c>
      <c r="M228" s="31">
        <v>107.35</v>
      </c>
      <c r="N228" s="51"/>
      <c r="O228" s="49"/>
      <c r="P228" s="50"/>
      <c r="Q228" s="50"/>
      <c r="R228" s="49"/>
      <c r="S228" s="49"/>
      <c r="T228" s="49"/>
      <c r="U228" s="49"/>
      <c r="V228" s="49"/>
    </row>
    <row r="229" spans="1:22" s="44" customFormat="1" x14ac:dyDescent="0.5">
      <c r="A229" s="41">
        <v>2018</v>
      </c>
      <c r="B229" s="40" t="s">
        <v>184</v>
      </c>
      <c r="C229" s="39">
        <v>111.5</v>
      </c>
      <c r="D229" s="29">
        <v>118.56</v>
      </c>
      <c r="E229" s="29">
        <v>105.27</v>
      </c>
      <c r="F229" s="28">
        <v>111.79</v>
      </c>
      <c r="G229" s="29">
        <v>113.31</v>
      </c>
      <c r="H229" s="29">
        <v>117.16</v>
      </c>
      <c r="I229" s="29">
        <v>127.54</v>
      </c>
      <c r="J229" s="28">
        <v>111.99</v>
      </c>
      <c r="K229" s="29">
        <v>113.36</v>
      </c>
      <c r="L229" s="29">
        <v>113.19</v>
      </c>
      <c r="M229" s="28">
        <v>106.72</v>
      </c>
      <c r="N229" s="16">
        <f>(C229-C217)/C217</f>
        <v>3.1261561228264845E-2</v>
      </c>
      <c r="O229" s="14"/>
      <c r="P229" s="45"/>
      <c r="Q229" s="45"/>
    </row>
    <row r="230" spans="1:22" s="44" customFormat="1" x14ac:dyDescent="0.5">
      <c r="A230" s="43"/>
      <c r="B230" s="37" t="s">
        <v>185</v>
      </c>
      <c r="C230" s="42">
        <v>111.35</v>
      </c>
      <c r="D230" s="32">
        <v>118.78</v>
      </c>
      <c r="E230" s="32">
        <v>102.3</v>
      </c>
      <c r="F230" s="31">
        <v>112.35</v>
      </c>
      <c r="G230" s="32">
        <v>113.57</v>
      </c>
      <c r="H230" s="32">
        <v>117.18</v>
      </c>
      <c r="I230" s="32">
        <v>123.94</v>
      </c>
      <c r="J230" s="31">
        <v>112.48</v>
      </c>
      <c r="K230" s="32">
        <v>113.68</v>
      </c>
      <c r="L230" s="32">
        <v>113.32</v>
      </c>
      <c r="M230" s="31">
        <v>105.4</v>
      </c>
      <c r="N230" s="46"/>
      <c r="P230" s="45"/>
      <c r="Q230" s="45"/>
    </row>
    <row r="231" spans="1:22" s="44" customFormat="1" x14ac:dyDescent="0.5">
      <c r="A231" s="41"/>
      <c r="B231" s="40" t="s">
        <v>186</v>
      </c>
      <c r="C231" s="39">
        <v>111.14</v>
      </c>
      <c r="D231" s="29">
        <v>119.91</v>
      </c>
      <c r="E231" s="29">
        <v>100.72</v>
      </c>
      <c r="F231" s="28">
        <v>112.25</v>
      </c>
      <c r="G231" s="29">
        <v>113.68</v>
      </c>
      <c r="H231" s="29">
        <v>118.45</v>
      </c>
      <c r="I231" s="29">
        <v>124.77</v>
      </c>
      <c r="J231" s="28">
        <v>112.36</v>
      </c>
      <c r="K231" s="29">
        <v>113.93</v>
      </c>
      <c r="L231" s="29">
        <v>113.07</v>
      </c>
      <c r="M231" s="28">
        <v>104</v>
      </c>
      <c r="N231" s="46"/>
      <c r="P231" s="45"/>
      <c r="Q231" s="45"/>
    </row>
    <row r="232" spans="1:22" s="44" customFormat="1" x14ac:dyDescent="0.5">
      <c r="A232" s="43"/>
      <c r="B232" s="37" t="s">
        <v>187</v>
      </c>
      <c r="C232" s="42">
        <v>111.41</v>
      </c>
      <c r="D232" s="32">
        <v>118.52</v>
      </c>
      <c r="E232" s="32">
        <v>103.9</v>
      </c>
      <c r="F232" s="31">
        <v>112.05</v>
      </c>
      <c r="G232" s="32">
        <v>113.43</v>
      </c>
      <c r="H232" s="32">
        <v>117.3</v>
      </c>
      <c r="I232" s="32">
        <v>128.57</v>
      </c>
      <c r="J232" s="31">
        <v>112.05</v>
      </c>
      <c r="K232" s="32">
        <v>114.13</v>
      </c>
      <c r="L232" s="32">
        <v>111.76</v>
      </c>
      <c r="M232" s="31">
        <v>104.46</v>
      </c>
      <c r="N232" s="46"/>
      <c r="P232" s="45"/>
      <c r="Q232" s="45"/>
    </row>
    <row r="233" spans="1:22" s="44" customFormat="1" x14ac:dyDescent="0.5">
      <c r="A233" s="41"/>
      <c r="B233" s="40" t="s">
        <v>188</v>
      </c>
      <c r="C233" s="39">
        <v>113.86</v>
      </c>
      <c r="D233" s="29">
        <v>117.68</v>
      </c>
      <c r="E233" s="29">
        <v>113.72</v>
      </c>
      <c r="F233" s="28">
        <v>113.13</v>
      </c>
      <c r="G233" s="29">
        <v>114.46</v>
      </c>
      <c r="H233" s="29">
        <v>116.2</v>
      </c>
      <c r="I233" s="29">
        <v>138.09</v>
      </c>
      <c r="J233" s="28">
        <v>113.01</v>
      </c>
      <c r="K233" s="29">
        <v>114.91</v>
      </c>
      <c r="L233" s="29">
        <v>113.38</v>
      </c>
      <c r="M233" s="28">
        <v>111.18</v>
      </c>
      <c r="N233" s="46"/>
      <c r="P233" s="45"/>
      <c r="Q233" s="45"/>
    </row>
    <row r="234" spans="1:22" s="44" customFormat="1" x14ac:dyDescent="0.5">
      <c r="A234" s="43"/>
      <c r="B234" s="37" t="s">
        <v>174</v>
      </c>
      <c r="C234" s="42">
        <v>113.72</v>
      </c>
      <c r="D234" s="32">
        <v>117.57</v>
      </c>
      <c r="E234" s="32">
        <v>112.22</v>
      </c>
      <c r="F234" s="31">
        <v>113.36</v>
      </c>
      <c r="G234" s="32">
        <v>114.67</v>
      </c>
      <c r="H234" s="32">
        <v>116.2</v>
      </c>
      <c r="I234" s="32">
        <v>138.22</v>
      </c>
      <c r="J234" s="31">
        <v>113.26</v>
      </c>
      <c r="K234" s="32">
        <v>115.07</v>
      </c>
      <c r="L234" s="32">
        <v>113.73</v>
      </c>
      <c r="M234" s="31">
        <v>110.28</v>
      </c>
      <c r="N234" s="46"/>
      <c r="P234" s="45"/>
      <c r="Q234" s="45"/>
    </row>
    <row r="235" spans="1:22" s="44" customFormat="1" x14ac:dyDescent="0.5">
      <c r="A235" s="41"/>
      <c r="B235" s="40" t="s">
        <v>176</v>
      </c>
      <c r="C235" s="39">
        <v>113.45</v>
      </c>
      <c r="D235" s="29">
        <v>116.58</v>
      </c>
      <c r="E235" s="29">
        <v>111.86</v>
      </c>
      <c r="F235" s="28">
        <v>113.25</v>
      </c>
      <c r="G235" s="29">
        <v>114.55</v>
      </c>
      <c r="H235" s="29">
        <v>115.45</v>
      </c>
      <c r="I235" s="29">
        <v>137.1</v>
      </c>
      <c r="J235" s="28">
        <v>113.29</v>
      </c>
      <c r="K235" s="29">
        <v>114.81</v>
      </c>
      <c r="L235" s="29">
        <v>113.93</v>
      </c>
      <c r="M235" s="28">
        <v>109.95</v>
      </c>
      <c r="N235" s="46"/>
      <c r="P235" s="45"/>
      <c r="Q235" s="45"/>
    </row>
    <row r="236" spans="1:22" s="44" customFormat="1" x14ac:dyDescent="0.5">
      <c r="A236" s="43"/>
      <c r="B236" s="37" t="s">
        <v>179</v>
      </c>
      <c r="C236" s="42">
        <v>113.26</v>
      </c>
      <c r="D236" s="32">
        <v>116.95</v>
      </c>
      <c r="E236" s="32">
        <v>110.08</v>
      </c>
      <c r="F236" s="31">
        <v>113.39</v>
      </c>
      <c r="G236" s="32">
        <v>114.74</v>
      </c>
      <c r="H236" s="32">
        <v>115.85</v>
      </c>
      <c r="I236" s="32">
        <v>135.72</v>
      </c>
      <c r="J236" s="31">
        <v>113.52</v>
      </c>
      <c r="K236" s="32">
        <v>114.8</v>
      </c>
      <c r="L236" s="32">
        <v>114.6</v>
      </c>
      <c r="M236" s="31">
        <v>109.32</v>
      </c>
      <c r="N236" s="46"/>
      <c r="P236" s="45"/>
      <c r="Q236" s="45"/>
    </row>
    <row r="237" spans="1:22" s="44" customFormat="1" x14ac:dyDescent="0.5">
      <c r="A237" s="41"/>
      <c r="B237" s="40" t="s">
        <v>180</v>
      </c>
      <c r="C237" s="39">
        <v>115.97</v>
      </c>
      <c r="D237" s="29">
        <v>118.98</v>
      </c>
      <c r="E237" s="29">
        <v>120.01</v>
      </c>
      <c r="F237" s="28">
        <v>114.25</v>
      </c>
      <c r="G237" s="29">
        <v>116.1</v>
      </c>
      <c r="H237" s="29">
        <v>117.75</v>
      </c>
      <c r="I237" s="29">
        <v>146.71</v>
      </c>
      <c r="J237" s="28">
        <v>114.32</v>
      </c>
      <c r="K237" s="29">
        <v>116.12</v>
      </c>
      <c r="L237" s="29">
        <v>116.05</v>
      </c>
      <c r="M237" s="28">
        <v>115.59</v>
      </c>
      <c r="N237" s="46"/>
      <c r="P237" s="45"/>
      <c r="Q237" s="45"/>
    </row>
    <row r="238" spans="1:22" s="44" customFormat="1" x14ac:dyDescent="0.5">
      <c r="A238" s="43"/>
      <c r="B238" s="37" t="s">
        <v>181</v>
      </c>
      <c r="C238" s="42">
        <v>117.52</v>
      </c>
      <c r="D238" s="32">
        <v>120.65</v>
      </c>
      <c r="E238" s="32">
        <v>124.92</v>
      </c>
      <c r="F238" s="31">
        <v>114.84</v>
      </c>
      <c r="G238" s="32">
        <v>116.93</v>
      </c>
      <c r="H238" s="32">
        <v>119.3</v>
      </c>
      <c r="I238" s="32">
        <v>152.63</v>
      </c>
      <c r="J238" s="31">
        <v>114.78</v>
      </c>
      <c r="K238" s="32">
        <v>117.08</v>
      </c>
      <c r="L238" s="32">
        <v>116.58</v>
      </c>
      <c r="M238" s="31">
        <v>118.64</v>
      </c>
      <c r="N238" s="46"/>
      <c r="P238" s="45"/>
      <c r="Q238" s="45"/>
    </row>
    <row r="239" spans="1:22" s="44" customFormat="1" x14ac:dyDescent="0.5">
      <c r="A239" s="41"/>
      <c r="B239" s="40" t="s">
        <v>182</v>
      </c>
      <c r="C239" s="39">
        <v>115.67</v>
      </c>
      <c r="D239" s="29">
        <v>121.39</v>
      </c>
      <c r="E239" s="29">
        <v>111.86</v>
      </c>
      <c r="F239" s="28">
        <v>115.57</v>
      </c>
      <c r="G239" s="29">
        <v>117.02</v>
      </c>
      <c r="H239" s="29">
        <v>119.89</v>
      </c>
      <c r="I239" s="29">
        <v>135.38999999999999</v>
      </c>
      <c r="J239" s="28">
        <v>115.65</v>
      </c>
      <c r="K239" s="29">
        <v>116.38</v>
      </c>
      <c r="L239" s="29">
        <v>118.53</v>
      </c>
      <c r="M239" s="28">
        <v>113.85</v>
      </c>
      <c r="N239" s="46"/>
      <c r="P239" s="45"/>
      <c r="Q239" s="45"/>
    </row>
    <row r="240" spans="1:22" s="44" customFormat="1" x14ac:dyDescent="0.5">
      <c r="A240" s="43"/>
      <c r="B240" s="37" t="s">
        <v>183</v>
      </c>
      <c r="C240" s="42">
        <v>113.86</v>
      </c>
      <c r="D240" s="32">
        <v>123.2</v>
      </c>
      <c r="E240" s="32">
        <v>102.15</v>
      </c>
      <c r="F240" s="31">
        <v>115.22</v>
      </c>
      <c r="G240" s="32">
        <v>116.91</v>
      </c>
      <c r="H240" s="32">
        <v>121.6</v>
      </c>
      <c r="I240" s="32">
        <v>126.64</v>
      </c>
      <c r="J240" s="31">
        <v>115.68</v>
      </c>
      <c r="K240" s="32">
        <v>116.04</v>
      </c>
      <c r="L240" s="32">
        <v>118.98</v>
      </c>
      <c r="M240" s="31">
        <v>108.3</v>
      </c>
      <c r="N240" s="46"/>
      <c r="P240" s="45"/>
      <c r="Q240" s="45"/>
    </row>
    <row r="241" spans="1:17" s="44" customFormat="1" x14ac:dyDescent="0.5">
      <c r="A241" s="41">
        <v>2019</v>
      </c>
      <c r="B241" s="40" t="s">
        <v>184</v>
      </c>
      <c r="C241" s="39">
        <v>114.53</v>
      </c>
      <c r="D241" s="29">
        <v>125.42</v>
      </c>
      <c r="E241" s="29">
        <v>103.59</v>
      </c>
      <c r="F241" s="28">
        <v>115.36</v>
      </c>
      <c r="G241" s="29">
        <v>117.18</v>
      </c>
      <c r="H241" s="29">
        <v>123.45</v>
      </c>
      <c r="I241" s="29">
        <v>126.14</v>
      </c>
      <c r="J241" s="28">
        <v>115.73</v>
      </c>
      <c r="K241" s="29">
        <v>116.56</v>
      </c>
      <c r="L241" s="29">
        <v>118.67</v>
      </c>
      <c r="M241" s="28">
        <v>109.34</v>
      </c>
      <c r="N241" s="16">
        <f>(C241-C229)/C229</f>
        <v>2.7174887892376692E-2</v>
      </c>
      <c r="O241" s="14"/>
      <c r="P241" s="45"/>
      <c r="Q241" s="45"/>
    </row>
    <row r="242" spans="1:17" s="44" customFormat="1" x14ac:dyDescent="0.5">
      <c r="A242" s="43"/>
      <c r="B242" s="37" t="s">
        <v>185</v>
      </c>
      <c r="C242" s="42">
        <v>115.6</v>
      </c>
      <c r="D242" s="32">
        <v>123.95</v>
      </c>
      <c r="E242" s="32">
        <v>109.06</v>
      </c>
      <c r="F242" s="31">
        <v>115.72</v>
      </c>
      <c r="G242" s="32">
        <v>117.38</v>
      </c>
      <c r="H242" s="32">
        <v>121.45</v>
      </c>
      <c r="I242" s="32">
        <v>132.57</v>
      </c>
      <c r="J242" s="31">
        <v>115.97</v>
      </c>
      <c r="K242" s="32">
        <v>117.07</v>
      </c>
      <c r="L242" s="32">
        <v>118.12</v>
      </c>
      <c r="M242" s="31">
        <v>111.85</v>
      </c>
      <c r="N242" s="46"/>
      <c r="P242" s="45"/>
      <c r="Q242" s="45"/>
    </row>
    <row r="243" spans="1:17" s="44" customFormat="1" x14ac:dyDescent="0.5">
      <c r="A243" s="41"/>
      <c r="B243" s="40" t="s">
        <v>186</v>
      </c>
      <c r="C243" s="39">
        <v>116.37</v>
      </c>
      <c r="D243" s="29">
        <v>125.89</v>
      </c>
      <c r="E243" s="29">
        <v>111.3</v>
      </c>
      <c r="F243" s="28">
        <v>115.85</v>
      </c>
      <c r="G243" s="29">
        <v>117.82</v>
      </c>
      <c r="H243" s="29">
        <v>124.25</v>
      </c>
      <c r="I243" s="29">
        <v>134.85</v>
      </c>
      <c r="J243" s="28">
        <v>115.95</v>
      </c>
      <c r="K243" s="29">
        <v>117.7</v>
      </c>
      <c r="L243" s="29">
        <v>118.11</v>
      </c>
      <c r="M243" s="28">
        <v>112.98</v>
      </c>
      <c r="N243" s="46"/>
      <c r="P243" s="45"/>
      <c r="Q243" s="45"/>
    </row>
    <row r="244" spans="1:17" s="44" customFormat="1" x14ac:dyDescent="0.5">
      <c r="A244" s="43"/>
      <c r="B244" s="33" t="s">
        <v>187</v>
      </c>
      <c r="C244" s="32">
        <v>118.03</v>
      </c>
      <c r="D244" s="32">
        <v>127.72</v>
      </c>
      <c r="E244" s="32">
        <v>116.53</v>
      </c>
      <c r="F244" s="31">
        <v>116.49</v>
      </c>
      <c r="G244" s="32">
        <v>118.86</v>
      </c>
      <c r="H244" s="32">
        <v>126.03</v>
      </c>
      <c r="I244" s="32">
        <v>144.57</v>
      </c>
      <c r="J244" s="31">
        <v>116.43</v>
      </c>
      <c r="K244" s="32">
        <v>118.94</v>
      </c>
      <c r="L244" s="32">
        <v>118.66</v>
      </c>
      <c r="M244" s="31">
        <v>115.7</v>
      </c>
      <c r="N244" s="46"/>
      <c r="P244" s="45"/>
      <c r="Q244" s="45"/>
    </row>
    <row r="245" spans="1:17" s="44" customFormat="1" x14ac:dyDescent="0.5">
      <c r="A245" s="41"/>
      <c r="B245" s="30" t="s">
        <v>188</v>
      </c>
      <c r="C245" s="29">
        <v>119.91</v>
      </c>
      <c r="D245" s="29">
        <v>129.13</v>
      </c>
      <c r="E245" s="29">
        <v>121.19</v>
      </c>
      <c r="F245" s="28">
        <v>117.7</v>
      </c>
      <c r="G245" s="29">
        <v>120.19</v>
      </c>
      <c r="H245" s="29">
        <v>126.99</v>
      </c>
      <c r="I245" s="29">
        <v>150.13</v>
      </c>
      <c r="J245" s="28">
        <v>117.62</v>
      </c>
      <c r="K245" s="29">
        <v>119.86</v>
      </c>
      <c r="L245" s="29">
        <v>120.99</v>
      </c>
      <c r="M245" s="28">
        <v>120.06</v>
      </c>
      <c r="N245" s="46"/>
      <c r="P245" s="45"/>
      <c r="Q245" s="45"/>
    </row>
    <row r="246" spans="1:17" s="44" customFormat="1" x14ac:dyDescent="0.5">
      <c r="A246" s="43"/>
      <c r="B246" s="33" t="s">
        <v>174</v>
      </c>
      <c r="C246" s="32">
        <v>117.99</v>
      </c>
      <c r="D246" s="32">
        <v>130.99</v>
      </c>
      <c r="E246" s="32">
        <v>111.34</v>
      </c>
      <c r="F246" s="31">
        <v>117.2</v>
      </c>
      <c r="G246" s="32">
        <v>119.76</v>
      </c>
      <c r="H246" s="32">
        <v>129.08000000000001</v>
      </c>
      <c r="I246" s="32">
        <v>138.56</v>
      </c>
      <c r="J246" s="31">
        <v>117.32</v>
      </c>
      <c r="K246" s="32">
        <v>119.47</v>
      </c>
      <c r="L246" s="32">
        <v>120.44</v>
      </c>
      <c r="M246" s="31">
        <v>114.19</v>
      </c>
      <c r="N246" s="46"/>
      <c r="P246" s="45"/>
      <c r="Q246" s="45"/>
    </row>
    <row r="247" spans="1:17" s="44" customFormat="1" x14ac:dyDescent="0.5">
      <c r="A247" s="41"/>
      <c r="B247" s="30" t="s">
        <v>176</v>
      </c>
      <c r="C247" s="29">
        <v>118.68</v>
      </c>
      <c r="D247" s="29">
        <v>131.46</v>
      </c>
      <c r="E247" s="29">
        <v>109.33</v>
      </c>
      <c r="F247" s="28">
        <v>118.69</v>
      </c>
      <c r="G247" s="29">
        <v>120.73</v>
      </c>
      <c r="H247" s="29">
        <v>129.81</v>
      </c>
      <c r="I247" s="29">
        <v>139.63</v>
      </c>
      <c r="J247" s="28">
        <v>118.34</v>
      </c>
      <c r="K247" s="29">
        <v>121.12</v>
      </c>
      <c r="L247" s="29">
        <v>119.83</v>
      </c>
      <c r="M247" s="28">
        <v>112.46</v>
      </c>
      <c r="N247" s="46"/>
      <c r="P247" s="45"/>
      <c r="Q247" s="45"/>
    </row>
    <row r="248" spans="1:17" s="44" customFormat="1" x14ac:dyDescent="0.5">
      <c r="A248" s="43"/>
      <c r="B248" s="33" t="s">
        <v>179</v>
      </c>
      <c r="C248" s="32">
        <v>118.91</v>
      </c>
      <c r="D248" s="32">
        <v>132.04</v>
      </c>
      <c r="E248" s="32">
        <v>105.46</v>
      </c>
      <c r="F248" s="31">
        <v>119.98</v>
      </c>
      <c r="G248" s="32">
        <v>121.6</v>
      </c>
      <c r="H248" s="32">
        <v>129.99</v>
      </c>
      <c r="I248" s="32">
        <v>141.21</v>
      </c>
      <c r="J248" s="31">
        <v>119.28</v>
      </c>
      <c r="K248" s="32">
        <v>121.22</v>
      </c>
      <c r="L248" s="32">
        <v>122.51</v>
      </c>
      <c r="M248" s="31">
        <v>113</v>
      </c>
      <c r="N248" s="46"/>
      <c r="P248" s="45"/>
      <c r="Q248" s="45"/>
    </row>
    <row r="249" spans="1:17" s="44" customFormat="1" x14ac:dyDescent="0.5">
      <c r="A249" s="30"/>
      <c r="B249" s="30" t="s">
        <v>180</v>
      </c>
      <c r="C249" s="29">
        <v>120.35</v>
      </c>
      <c r="D249" s="29">
        <v>134.41</v>
      </c>
      <c r="E249" s="29">
        <v>109.38</v>
      </c>
      <c r="F249" s="28">
        <v>120.55</v>
      </c>
      <c r="G249" s="29">
        <v>122.23</v>
      </c>
      <c r="H249" s="29">
        <v>132.44</v>
      </c>
      <c r="I249" s="29">
        <v>145.12</v>
      </c>
      <c r="J249" s="28">
        <v>119.46</v>
      </c>
      <c r="K249" s="29">
        <v>122.16</v>
      </c>
      <c r="L249" s="29">
        <v>122.41</v>
      </c>
      <c r="M249" s="28">
        <v>115.74</v>
      </c>
      <c r="N249" s="46"/>
      <c r="P249" s="45"/>
      <c r="Q249" s="45"/>
    </row>
    <row r="250" spans="1:17" s="44" customFormat="1" x14ac:dyDescent="0.5">
      <c r="A250" s="33"/>
      <c r="B250" s="33" t="s">
        <v>181</v>
      </c>
      <c r="C250" s="32">
        <v>120.34</v>
      </c>
      <c r="D250" s="32">
        <v>135.51</v>
      </c>
      <c r="E250" s="32">
        <v>106.61</v>
      </c>
      <c r="F250" s="31">
        <v>121.07</v>
      </c>
      <c r="G250" s="32">
        <v>122.56</v>
      </c>
      <c r="H250" s="32">
        <v>133.36000000000001</v>
      </c>
      <c r="I250" s="32">
        <v>140.08000000000001</v>
      </c>
      <c r="J250" s="31">
        <v>119.95</v>
      </c>
      <c r="K250" s="32">
        <v>122.31</v>
      </c>
      <c r="L250" s="32">
        <v>123.16</v>
      </c>
      <c r="M250" s="31">
        <v>115.31</v>
      </c>
      <c r="N250" s="46"/>
      <c r="P250" s="45"/>
      <c r="Q250" s="45"/>
    </row>
    <row r="251" spans="1:17" s="44" customFormat="1" x14ac:dyDescent="0.5">
      <c r="A251" s="30"/>
      <c r="B251" s="30" t="s">
        <v>182</v>
      </c>
      <c r="C251" s="29">
        <v>120.31</v>
      </c>
      <c r="D251" s="29">
        <v>132.62</v>
      </c>
      <c r="E251" s="29">
        <v>108.78</v>
      </c>
      <c r="F251" s="28">
        <v>121.01</v>
      </c>
      <c r="G251" s="29">
        <v>122.31</v>
      </c>
      <c r="H251" s="29">
        <v>130.43</v>
      </c>
      <c r="I251" s="29">
        <v>143.71</v>
      </c>
      <c r="J251" s="28">
        <v>119.94</v>
      </c>
      <c r="K251" s="29">
        <v>122.15</v>
      </c>
      <c r="L251" s="29">
        <v>122.68</v>
      </c>
      <c r="M251" s="28">
        <v>115.6</v>
      </c>
      <c r="N251" s="46"/>
      <c r="P251" s="45"/>
      <c r="Q251" s="45"/>
    </row>
    <row r="252" spans="1:17" s="44" customFormat="1" x14ac:dyDescent="0.5">
      <c r="A252" s="33"/>
      <c r="B252" s="33" t="s">
        <v>183</v>
      </c>
      <c r="C252" s="32">
        <v>120.79</v>
      </c>
      <c r="D252" s="32">
        <v>131.15</v>
      </c>
      <c r="E252" s="32">
        <v>112.07</v>
      </c>
      <c r="F252" s="31">
        <v>121.11</v>
      </c>
      <c r="G252" s="32">
        <v>122.36</v>
      </c>
      <c r="H252" s="32">
        <v>129.04</v>
      </c>
      <c r="I252" s="32">
        <v>145.83000000000001</v>
      </c>
      <c r="J252" s="31">
        <v>120.12</v>
      </c>
      <c r="K252" s="32">
        <v>122.26</v>
      </c>
      <c r="L252" s="32">
        <v>122.58</v>
      </c>
      <c r="M252" s="31">
        <v>117.04</v>
      </c>
      <c r="N252" s="46"/>
      <c r="P252" s="45"/>
      <c r="Q252" s="45"/>
    </row>
    <row r="253" spans="1:17" s="44" customFormat="1" x14ac:dyDescent="0.5">
      <c r="A253" s="30">
        <v>2020</v>
      </c>
      <c r="B253" s="30" t="s">
        <v>184</v>
      </c>
      <c r="C253" s="29">
        <v>119.91</v>
      </c>
      <c r="D253" s="29">
        <v>130.91</v>
      </c>
      <c r="E253" s="29">
        <v>106.21</v>
      </c>
      <c r="F253" s="28">
        <v>121.47</v>
      </c>
      <c r="G253" s="29">
        <v>122.34</v>
      </c>
      <c r="H253" s="29">
        <v>128.69</v>
      </c>
      <c r="I253" s="29">
        <v>143.41999999999999</v>
      </c>
      <c r="J253" s="28">
        <v>120.28</v>
      </c>
      <c r="K253" s="29">
        <v>122.62</v>
      </c>
      <c r="L253" s="29">
        <v>121.69</v>
      </c>
      <c r="M253" s="28">
        <v>112.97</v>
      </c>
      <c r="N253" s="16">
        <f>(C253-C241)/C241</f>
        <v>4.6974591810006072E-2</v>
      </c>
      <c r="O253" s="14"/>
      <c r="P253" s="45"/>
      <c r="Q253" s="45"/>
    </row>
    <row r="254" spans="1:17" s="44" customFormat="1" x14ac:dyDescent="0.5">
      <c r="A254" s="33"/>
      <c r="B254" s="33" t="s">
        <v>185</v>
      </c>
      <c r="C254" s="32">
        <v>118.69</v>
      </c>
      <c r="D254" s="32">
        <v>133</v>
      </c>
      <c r="E254" s="32">
        <v>96.8</v>
      </c>
      <c r="F254" s="31">
        <v>121.86</v>
      </c>
      <c r="G254" s="32">
        <v>122.34</v>
      </c>
      <c r="H254" s="32">
        <v>129.87</v>
      </c>
      <c r="I254" s="32">
        <v>130.47999999999999</v>
      </c>
      <c r="J254" s="31">
        <v>120.73</v>
      </c>
      <c r="K254" s="32">
        <v>122.05</v>
      </c>
      <c r="L254" s="32">
        <v>123.03</v>
      </c>
      <c r="M254" s="31">
        <v>110.1</v>
      </c>
      <c r="N254" s="46"/>
      <c r="P254" s="45"/>
      <c r="Q254" s="45"/>
    </row>
    <row r="255" spans="1:17" s="44" customFormat="1" x14ac:dyDescent="0.5">
      <c r="A255" s="47"/>
      <c r="B255" s="47" t="s">
        <v>186</v>
      </c>
      <c r="C255" s="29">
        <v>116.16</v>
      </c>
      <c r="D255" s="29">
        <v>141.37</v>
      </c>
      <c r="E255" s="29">
        <v>73.88</v>
      </c>
      <c r="F255" s="28">
        <v>122.77</v>
      </c>
      <c r="G255" s="29">
        <v>123.27</v>
      </c>
      <c r="H255" s="29">
        <v>137.53</v>
      </c>
      <c r="I255" s="29">
        <v>100.22</v>
      </c>
      <c r="J255" s="28">
        <v>122.11</v>
      </c>
      <c r="K255" s="29">
        <v>120.78</v>
      </c>
      <c r="L255" s="29">
        <v>129.15</v>
      </c>
      <c r="M255" s="28">
        <v>104.36</v>
      </c>
      <c r="N255" s="46"/>
      <c r="P255" s="45"/>
      <c r="Q255" s="45"/>
    </row>
    <row r="256" spans="1:17" s="44" customFormat="1" x14ac:dyDescent="0.5">
      <c r="A256" s="33"/>
      <c r="B256" s="33" t="s">
        <v>187</v>
      </c>
      <c r="C256" s="32">
        <v>112.33</v>
      </c>
      <c r="D256" s="32">
        <v>143.54</v>
      </c>
      <c r="E256" s="32">
        <v>56.02</v>
      </c>
      <c r="F256" s="31">
        <v>121.6</v>
      </c>
      <c r="G256" s="32">
        <v>122.59</v>
      </c>
      <c r="H256" s="32">
        <v>140.05000000000001</v>
      </c>
      <c r="I256" s="32">
        <v>85.55</v>
      </c>
      <c r="J256" s="31">
        <v>121.61</v>
      </c>
      <c r="K256" s="32">
        <v>118.91</v>
      </c>
      <c r="L256" s="32">
        <v>131.31</v>
      </c>
      <c r="M256" s="31">
        <v>95.5</v>
      </c>
      <c r="N256" s="46"/>
      <c r="P256" s="45"/>
      <c r="Q256" s="45"/>
    </row>
    <row r="257" spans="1:17" s="44" customFormat="1" x14ac:dyDescent="0.5">
      <c r="A257" s="30"/>
      <c r="B257" s="30" t="s">
        <v>188</v>
      </c>
      <c r="C257" s="29">
        <v>113.73</v>
      </c>
      <c r="D257" s="29">
        <v>142.41999999999999</v>
      </c>
      <c r="E257" s="29">
        <v>64.86</v>
      </c>
      <c r="F257" s="28">
        <v>121.46</v>
      </c>
      <c r="G257" s="29">
        <v>122.5</v>
      </c>
      <c r="H257" s="29">
        <v>139.21</v>
      </c>
      <c r="I257" s="29">
        <v>92.26</v>
      </c>
      <c r="J257" s="28">
        <v>121.3</v>
      </c>
      <c r="K257" s="29">
        <v>119.17</v>
      </c>
      <c r="L257" s="29">
        <v>130.38</v>
      </c>
      <c r="M257" s="28">
        <v>99.82</v>
      </c>
      <c r="N257" s="46"/>
      <c r="P257" s="45"/>
      <c r="Q257" s="45"/>
    </row>
    <row r="258" spans="1:17" s="44" customFormat="1" x14ac:dyDescent="0.5">
      <c r="A258" s="33"/>
      <c r="B258" s="33" t="s">
        <v>174</v>
      </c>
      <c r="C258" s="32">
        <v>115.73</v>
      </c>
      <c r="D258" s="32">
        <v>138.22999999999999</v>
      </c>
      <c r="E258" s="32">
        <v>79</v>
      </c>
      <c r="F258" s="31">
        <v>121.34</v>
      </c>
      <c r="G258" s="32">
        <v>122.59</v>
      </c>
      <c r="H258" s="32">
        <v>135.49</v>
      </c>
      <c r="I258" s="32">
        <v>114.15</v>
      </c>
      <c r="J258" s="31">
        <v>120.93</v>
      </c>
      <c r="K258" s="32">
        <v>120.14</v>
      </c>
      <c r="L258" s="32">
        <v>128.38</v>
      </c>
      <c r="M258" s="31">
        <v>104.43</v>
      </c>
      <c r="N258" s="46"/>
      <c r="P258" s="45"/>
      <c r="Q258" s="45"/>
    </row>
    <row r="259" spans="1:17" s="44" customFormat="1" x14ac:dyDescent="0.5">
      <c r="A259" s="30"/>
      <c r="B259" s="30" t="s">
        <v>176</v>
      </c>
      <c r="C259" s="29">
        <v>117.49</v>
      </c>
      <c r="D259" s="29">
        <v>137.65</v>
      </c>
      <c r="E259" s="29">
        <v>87.24</v>
      </c>
      <c r="F259" s="28">
        <v>121.79</v>
      </c>
      <c r="G259" s="29">
        <v>122.76</v>
      </c>
      <c r="H259" s="29">
        <v>135.33000000000001</v>
      </c>
      <c r="I259" s="29">
        <v>118.92</v>
      </c>
      <c r="J259" s="28">
        <v>120.93</v>
      </c>
      <c r="K259" s="29">
        <v>120.64</v>
      </c>
      <c r="L259" s="29">
        <v>127.79</v>
      </c>
      <c r="M259" s="28">
        <v>109.44</v>
      </c>
      <c r="N259" s="46"/>
      <c r="P259" s="45"/>
      <c r="Q259" s="45"/>
    </row>
    <row r="260" spans="1:17" s="44" customFormat="1" x14ac:dyDescent="0.5">
      <c r="A260" s="33"/>
      <c r="B260" s="33" t="s">
        <v>179</v>
      </c>
      <c r="C260" s="32">
        <v>119.31</v>
      </c>
      <c r="D260" s="32">
        <v>138.44</v>
      </c>
      <c r="E260" s="32">
        <v>91.15</v>
      </c>
      <c r="F260" s="31">
        <v>123.23</v>
      </c>
      <c r="G260" s="32">
        <v>123.54</v>
      </c>
      <c r="H260" s="32">
        <v>135.88</v>
      </c>
      <c r="I260" s="32">
        <v>123.07</v>
      </c>
      <c r="J260" s="31">
        <v>121.57</v>
      </c>
      <c r="K260" s="32">
        <v>121.02</v>
      </c>
      <c r="L260" s="32">
        <v>129.52000000000001</v>
      </c>
      <c r="M260" s="31">
        <v>114.94</v>
      </c>
      <c r="N260" s="46"/>
      <c r="P260" s="45"/>
      <c r="Q260" s="45"/>
    </row>
    <row r="261" spans="1:17" x14ac:dyDescent="0.5">
      <c r="A261" s="30"/>
      <c r="B261" s="30" t="s">
        <v>180</v>
      </c>
      <c r="C261" s="29">
        <v>118.78</v>
      </c>
      <c r="D261" s="29">
        <v>141.08000000000001</v>
      </c>
      <c r="E261" s="29">
        <v>86.8</v>
      </c>
      <c r="F261" s="28">
        <v>123.12</v>
      </c>
      <c r="G261" s="29">
        <v>123.7</v>
      </c>
      <c r="H261" s="29">
        <v>138.78</v>
      </c>
      <c r="I261" s="29">
        <v>117.73</v>
      </c>
      <c r="J261" s="28">
        <v>121.57</v>
      </c>
      <c r="K261" s="29">
        <v>121.33</v>
      </c>
      <c r="L261" s="29">
        <v>129.32</v>
      </c>
      <c r="M261" s="28">
        <v>112.24</v>
      </c>
    </row>
    <row r="262" spans="1:17" x14ac:dyDescent="0.5">
      <c r="A262" s="33"/>
      <c r="B262" s="33" t="s">
        <v>181</v>
      </c>
      <c r="C262" s="32">
        <v>119.52</v>
      </c>
      <c r="D262" s="32">
        <v>142.1</v>
      </c>
      <c r="E262" s="32">
        <v>88.15</v>
      </c>
      <c r="F262" s="31">
        <v>123.63</v>
      </c>
      <c r="G262" s="32">
        <v>124.42</v>
      </c>
      <c r="H262" s="32">
        <v>139.85</v>
      </c>
      <c r="I262" s="32">
        <v>120.27</v>
      </c>
      <c r="J262" s="31">
        <v>122.14</v>
      </c>
      <c r="K262" s="32">
        <v>121.78</v>
      </c>
      <c r="L262" s="32">
        <v>130.66999999999999</v>
      </c>
      <c r="M262" s="31">
        <v>113.73</v>
      </c>
    </row>
    <row r="263" spans="1:17" x14ac:dyDescent="0.5">
      <c r="A263" s="30"/>
      <c r="B263" s="30" t="s">
        <v>182</v>
      </c>
      <c r="C263" s="29">
        <v>119.54</v>
      </c>
      <c r="D263" s="29">
        <v>142.54</v>
      </c>
      <c r="E263" s="29">
        <v>89.71</v>
      </c>
      <c r="F263" s="28">
        <v>123.15</v>
      </c>
      <c r="G263" s="29">
        <v>124.31</v>
      </c>
      <c r="H263" s="29">
        <v>140.74</v>
      </c>
      <c r="I263" s="29">
        <v>120.86</v>
      </c>
      <c r="J263" s="28">
        <v>121.84</v>
      </c>
      <c r="K263" s="29">
        <v>122.28</v>
      </c>
      <c r="L263" s="29">
        <v>129.12</v>
      </c>
      <c r="M263" s="28">
        <v>112.53</v>
      </c>
    </row>
    <row r="264" spans="1:17" x14ac:dyDescent="0.5">
      <c r="A264" s="33"/>
      <c r="B264" s="33" t="s">
        <v>183</v>
      </c>
      <c r="C264" s="32">
        <v>119.74</v>
      </c>
      <c r="D264" s="32">
        <v>143.33000000000001</v>
      </c>
      <c r="E264" s="32">
        <v>92.15</v>
      </c>
      <c r="F264" s="31">
        <v>122.61</v>
      </c>
      <c r="G264" s="32">
        <v>124.38</v>
      </c>
      <c r="H264" s="32">
        <v>142.07</v>
      </c>
      <c r="I264" s="32">
        <v>125.57</v>
      </c>
      <c r="J264" s="31">
        <v>121.47</v>
      </c>
      <c r="K264" s="32">
        <v>123.29</v>
      </c>
      <c r="L264" s="32">
        <v>126.96</v>
      </c>
      <c r="M264" s="31">
        <v>110.67</v>
      </c>
    </row>
    <row r="265" spans="1:17" x14ac:dyDescent="0.5">
      <c r="A265" s="30">
        <v>2021</v>
      </c>
      <c r="B265" s="30" t="s">
        <v>184</v>
      </c>
      <c r="C265" s="29">
        <v>123.03</v>
      </c>
      <c r="D265" s="29">
        <v>147.44999999999999</v>
      </c>
      <c r="E265" s="29">
        <v>101.25</v>
      </c>
      <c r="F265" s="28">
        <v>124.12</v>
      </c>
      <c r="G265" s="29">
        <v>126.36</v>
      </c>
      <c r="H265" s="29">
        <v>146.06</v>
      </c>
      <c r="I265" s="29">
        <v>134.63999999999999</v>
      </c>
      <c r="J265" s="28">
        <v>122.77</v>
      </c>
      <c r="K265" s="29">
        <v>125.48</v>
      </c>
      <c r="L265" s="29">
        <v>128.41999999999999</v>
      </c>
      <c r="M265" s="28">
        <v>116.75</v>
      </c>
      <c r="N265" s="16">
        <f>(C265-C253)/C253</f>
        <v>2.6019514635977022E-2</v>
      </c>
    </row>
    <row r="266" spans="1:17" x14ac:dyDescent="0.5">
      <c r="A266" s="33"/>
      <c r="B266" s="33" t="s">
        <v>185</v>
      </c>
      <c r="C266" s="32">
        <v>126.19</v>
      </c>
      <c r="D266" s="32">
        <v>150.38</v>
      </c>
      <c r="E266" s="32">
        <v>110.39</v>
      </c>
      <c r="F266" s="31">
        <v>125.68</v>
      </c>
      <c r="G266" s="32">
        <v>128.63</v>
      </c>
      <c r="H266" s="32">
        <v>148.47</v>
      </c>
      <c r="I266" s="32">
        <v>147.35</v>
      </c>
      <c r="J266" s="31">
        <v>124.51</v>
      </c>
      <c r="K266" s="32">
        <v>127.5</v>
      </c>
      <c r="L266" s="32">
        <v>131.29</v>
      </c>
      <c r="M266" s="31">
        <v>122.84</v>
      </c>
    </row>
    <row r="267" spans="1:17" x14ac:dyDescent="0.5">
      <c r="A267" s="30"/>
      <c r="B267" s="30" t="s">
        <v>186</v>
      </c>
      <c r="C267" s="29">
        <v>129.22999999999999</v>
      </c>
      <c r="D267" s="29">
        <v>156.22</v>
      </c>
      <c r="E267" s="29">
        <v>116.51</v>
      </c>
      <c r="F267" s="28">
        <v>127.29</v>
      </c>
      <c r="G267" s="29">
        <v>131.18</v>
      </c>
      <c r="H267" s="29">
        <v>154.84</v>
      </c>
      <c r="I267" s="29">
        <v>153.63</v>
      </c>
      <c r="J267" s="28">
        <v>126.26</v>
      </c>
      <c r="K267" s="29">
        <v>130.19</v>
      </c>
      <c r="L267" s="29">
        <v>133.53</v>
      </c>
      <c r="M267" s="28">
        <v>126.78</v>
      </c>
    </row>
    <row r="268" spans="1:17" x14ac:dyDescent="0.5">
      <c r="A268" s="43"/>
      <c r="B268" s="37" t="s">
        <v>187</v>
      </c>
      <c r="C268" s="42">
        <v>130.88</v>
      </c>
      <c r="D268" s="32">
        <v>160.21</v>
      </c>
      <c r="E268" s="32">
        <v>117.49</v>
      </c>
      <c r="F268" s="31">
        <v>128.66</v>
      </c>
      <c r="G268" s="32">
        <v>132.97999999999999</v>
      </c>
      <c r="H268" s="32">
        <v>158.54</v>
      </c>
      <c r="I268" s="32">
        <v>153.31</v>
      </c>
      <c r="J268" s="31">
        <v>127.86</v>
      </c>
      <c r="K268" s="32">
        <v>131.97</v>
      </c>
      <c r="L268" s="32">
        <v>135.38</v>
      </c>
      <c r="M268" s="31">
        <v>128.09</v>
      </c>
    </row>
    <row r="269" spans="1:17" x14ac:dyDescent="0.5">
      <c r="A269" s="41"/>
      <c r="B269" s="40" t="s">
        <v>188</v>
      </c>
      <c r="C269" s="39">
        <v>135.01</v>
      </c>
      <c r="D269" s="29">
        <v>171.03</v>
      </c>
      <c r="E269" s="29">
        <v>123.64</v>
      </c>
      <c r="F269" s="28">
        <v>130.87</v>
      </c>
      <c r="G269" s="29">
        <v>136.22999999999999</v>
      </c>
      <c r="H269" s="29">
        <v>169.79</v>
      </c>
      <c r="I269" s="29">
        <v>161.16999999999999</v>
      </c>
      <c r="J269" s="28">
        <v>129.59</v>
      </c>
      <c r="K269" s="29">
        <v>135.49</v>
      </c>
      <c r="L269" s="29">
        <v>137.97999999999999</v>
      </c>
      <c r="M269" s="28">
        <v>133.77000000000001</v>
      </c>
    </row>
    <row r="270" spans="1:17" x14ac:dyDescent="0.5">
      <c r="A270" s="43"/>
      <c r="B270" s="37" t="s">
        <v>174</v>
      </c>
      <c r="C270" s="42">
        <v>136.76</v>
      </c>
      <c r="D270" s="32">
        <v>165.66</v>
      </c>
      <c r="E270" s="32">
        <v>131.04</v>
      </c>
      <c r="F270" s="31">
        <v>132.5</v>
      </c>
      <c r="G270" s="32">
        <v>136.94999999999999</v>
      </c>
      <c r="H270" s="32">
        <v>165.25</v>
      </c>
      <c r="I270" s="32">
        <v>168.3</v>
      </c>
      <c r="J270" s="31">
        <v>130.84</v>
      </c>
      <c r="K270" s="32">
        <v>136.44</v>
      </c>
      <c r="L270" s="32">
        <v>138.16999999999999</v>
      </c>
      <c r="M270" s="31">
        <v>137.58000000000001</v>
      </c>
    </row>
    <row r="271" spans="1:17" x14ac:dyDescent="0.5">
      <c r="A271" s="41"/>
      <c r="B271" s="40" t="s">
        <v>176</v>
      </c>
      <c r="C271" s="39">
        <v>139.03</v>
      </c>
      <c r="D271" s="29">
        <v>167.58</v>
      </c>
      <c r="E271" s="29">
        <v>136.66</v>
      </c>
      <c r="F271" s="28">
        <v>133.91999999999999</v>
      </c>
      <c r="G271" s="29">
        <v>138.22</v>
      </c>
      <c r="H271" s="29">
        <v>167.66</v>
      </c>
      <c r="I271" s="29">
        <v>173.95</v>
      </c>
      <c r="J271" s="28">
        <v>131.71</v>
      </c>
      <c r="K271" s="29">
        <v>137.52000000000001</v>
      </c>
      <c r="L271" s="29">
        <v>139.87</v>
      </c>
      <c r="M271" s="28">
        <v>142.9</v>
      </c>
    </row>
    <row r="272" spans="1:17" x14ac:dyDescent="0.5">
      <c r="A272" s="43"/>
      <c r="B272" s="37" t="s">
        <v>179</v>
      </c>
      <c r="C272" s="42">
        <v>140.32</v>
      </c>
      <c r="D272" s="32">
        <v>169.82</v>
      </c>
      <c r="E272" s="32">
        <v>136.65</v>
      </c>
      <c r="F272" s="31">
        <v>135.37</v>
      </c>
      <c r="G272" s="32">
        <v>139.63</v>
      </c>
      <c r="H272" s="32">
        <v>170.2</v>
      </c>
      <c r="I272" s="32">
        <v>168.84</v>
      </c>
      <c r="J272" s="31">
        <v>133.27000000000001</v>
      </c>
      <c r="K272" s="32">
        <v>138.49</v>
      </c>
      <c r="L272" s="32">
        <v>142.33000000000001</v>
      </c>
      <c r="M272" s="31">
        <v>144.99</v>
      </c>
    </row>
    <row r="273" spans="1:17" x14ac:dyDescent="0.5">
      <c r="A273" s="41"/>
      <c r="B273" s="40" t="s">
        <v>180</v>
      </c>
      <c r="C273" s="39">
        <v>142.13999999999999</v>
      </c>
      <c r="D273" s="29">
        <v>171.45</v>
      </c>
      <c r="E273" s="29">
        <v>141.31</v>
      </c>
      <c r="F273" s="28">
        <v>136.44999999999999</v>
      </c>
      <c r="G273" s="29">
        <v>140.81</v>
      </c>
      <c r="H273" s="29">
        <v>172.19</v>
      </c>
      <c r="I273" s="29">
        <v>172.25</v>
      </c>
      <c r="J273" s="28">
        <v>134.19999999999999</v>
      </c>
      <c r="K273" s="29">
        <v>140.03</v>
      </c>
      <c r="L273" s="29">
        <v>142.65</v>
      </c>
      <c r="M273" s="28">
        <v>147.54</v>
      </c>
    </row>
    <row r="274" spans="1:17" x14ac:dyDescent="0.5">
      <c r="A274" s="43"/>
      <c r="B274" s="37" t="s">
        <v>181</v>
      </c>
      <c r="C274" s="42">
        <v>146.16999999999999</v>
      </c>
      <c r="D274" s="32">
        <v>174.44</v>
      </c>
      <c r="E274" s="32">
        <v>155.05000000000001</v>
      </c>
      <c r="F274" s="31">
        <v>138</v>
      </c>
      <c r="G274" s="32">
        <v>142.86000000000001</v>
      </c>
      <c r="H274" s="32">
        <v>175.64</v>
      </c>
      <c r="I274" s="32">
        <v>185.17</v>
      </c>
      <c r="J274" s="31">
        <v>135.47999999999999</v>
      </c>
      <c r="K274" s="32">
        <v>142.54</v>
      </c>
      <c r="L274" s="32">
        <v>143.61000000000001</v>
      </c>
      <c r="M274" s="31">
        <v>155.46</v>
      </c>
    </row>
    <row r="275" spans="1:17" x14ac:dyDescent="0.5">
      <c r="A275" s="41"/>
      <c r="B275" s="40" t="s">
        <v>182</v>
      </c>
      <c r="C275" s="39">
        <v>150.38999999999999</v>
      </c>
      <c r="D275" s="29">
        <v>182.91</v>
      </c>
      <c r="E275" s="29">
        <v>162.62</v>
      </c>
      <c r="F275" s="28">
        <v>140.43</v>
      </c>
      <c r="G275" s="29">
        <v>145.69</v>
      </c>
      <c r="H275" s="29">
        <v>184.04</v>
      </c>
      <c r="I275" s="29">
        <v>186.01</v>
      </c>
      <c r="J275" s="28">
        <v>137.52000000000001</v>
      </c>
      <c r="K275" s="29">
        <v>145.37</v>
      </c>
      <c r="L275" s="29">
        <v>146.44999999999999</v>
      </c>
      <c r="M275" s="28">
        <v>163.19999999999999</v>
      </c>
    </row>
    <row r="276" spans="1:17" x14ac:dyDescent="0.5">
      <c r="A276" s="43"/>
      <c r="B276" s="37" t="s">
        <v>183</v>
      </c>
      <c r="C276" s="42">
        <v>151.53</v>
      </c>
      <c r="D276" s="32">
        <v>191.57</v>
      </c>
      <c r="E276" s="32">
        <v>156.84</v>
      </c>
      <c r="F276" s="31">
        <v>141.96</v>
      </c>
      <c r="G276" s="32">
        <v>147.55000000000001</v>
      </c>
      <c r="H276" s="32">
        <v>193.12</v>
      </c>
      <c r="I276" s="32">
        <v>178.42</v>
      </c>
      <c r="J276" s="31">
        <v>138.69</v>
      </c>
      <c r="K276" s="32">
        <v>147.52000000000001</v>
      </c>
      <c r="L276" s="32">
        <v>147.63999999999999</v>
      </c>
      <c r="M276" s="31">
        <v>161.79</v>
      </c>
    </row>
    <row r="277" spans="1:17" x14ac:dyDescent="0.5">
      <c r="A277" s="41">
        <v>2022</v>
      </c>
      <c r="B277" s="40" t="s">
        <v>184</v>
      </c>
      <c r="C277" s="39">
        <v>159.25</v>
      </c>
      <c r="D277" s="29">
        <v>210.24</v>
      </c>
      <c r="E277" s="29">
        <v>172</v>
      </c>
      <c r="F277" s="28">
        <v>145.41</v>
      </c>
      <c r="G277" s="29">
        <v>153.41</v>
      </c>
      <c r="H277" s="29">
        <v>211.58</v>
      </c>
      <c r="I277" s="29">
        <v>201.58</v>
      </c>
      <c r="J277" s="28">
        <v>141.66</v>
      </c>
      <c r="K277" s="29">
        <v>154.59</v>
      </c>
      <c r="L277" s="29">
        <v>150.61000000000001</v>
      </c>
      <c r="M277" s="28">
        <v>171.15</v>
      </c>
      <c r="N277" s="16">
        <f>(C277-C265)/C265</f>
        <v>0.29439973990083718</v>
      </c>
    </row>
    <row r="278" spans="1:17" s="34" customFormat="1" x14ac:dyDescent="0.5">
      <c r="A278" s="33"/>
      <c r="B278" s="37" t="s">
        <v>185</v>
      </c>
      <c r="C278" s="32">
        <v>165.4</v>
      </c>
      <c r="D278" s="32">
        <v>225.18</v>
      </c>
      <c r="E278" s="32">
        <v>186.29</v>
      </c>
      <c r="F278" s="31">
        <v>147.54</v>
      </c>
      <c r="G278" s="32">
        <v>157.66</v>
      </c>
      <c r="H278" s="32">
        <v>225.61</v>
      </c>
      <c r="I278" s="32">
        <v>218.16</v>
      </c>
      <c r="J278" s="31">
        <v>143.72999999999999</v>
      </c>
      <c r="K278" s="32">
        <v>159.94</v>
      </c>
      <c r="L278" s="32">
        <v>152.27000000000001</v>
      </c>
      <c r="M278" s="31">
        <v>179.37</v>
      </c>
      <c r="N278" s="36"/>
      <c r="P278" s="35"/>
      <c r="Q278" s="35"/>
    </row>
    <row r="279" spans="1:17" x14ac:dyDescent="0.5">
      <c r="A279" s="30"/>
      <c r="B279" s="40" t="s">
        <v>186</v>
      </c>
      <c r="C279" s="29">
        <v>172.86</v>
      </c>
      <c r="D279" s="29">
        <v>227.22</v>
      </c>
      <c r="E279" s="29">
        <v>215.25</v>
      </c>
      <c r="F279" s="29">
        <v>150.13999999999999</v>
      </c>
      <c r="G279" s="39">
        <v>161.18</v>
      </c>
      <c r="H279" s="29">
        <v>229.05</v>
      </c>
      <c r="I279" s="29">
        <v>241.62</v>
      </c>
      <c r="J279" s="29">
        <v>146.27000000000001</v>
      </c>
      <c r="K279" s="39">
        <v>164.22</v>
      </c>
      <c r="L279" s="29">
        <v>153.99</v>
      </c>
      <c r="M279" s="29">
        <v>194.95</v>
      </c>
      <c r="N279" s="38"/>
    </row>
    <row r="280" spans="1:17" s="34" customFormat="1" x14ac:dyDescent="0.5">
      <c r="A280" s="33"/>
      <c r="B280" s="37" t="s">
        <v>190</v>
      </c>
      <c r="C280" s="32">
        <v>175.83</v>
      </c>
      <c r="D280" s="32">
        <v>231.83</v>
      </c>
      <c r="E280" s="32">
        <v>216.75</v>
      </c>
      <c r="F280" s="31">
        <v>153.19</v>
      </c>
      <c r="G280" s="32">
        <v>163.99</v>
      </c>
      <c r="H280" s="32">
        <v>234.1</v>
      </c>
      <c r="I280" s="32">
        <v>228.35</v>
      </c>
      <c r="J280" s="31">
        <v>149.51</v>
      </c>
      <c r="K280" s="32">
        <v>166.53</v>
      </c>
      <c r="L280" s="32">
        <v>157.97</v>
      </c>
      <c r="M280" s="31">
        <v>199.62</v>
      </c>
      <c r="N280" s="36"/>
      <c r="P280" s="35"/>
      <c r="Q280" s="35"/>
    </row>
    <row r="281" spans="1:17" s="34" customFormat="1" x14ac:dyDescent="0.5">
      <c r="A281" s="30"/>
      <c r="B281" s="30" t="s">
        <v>188</v>
      </c>
      <c r="C281" s="29">
        <v>181.71</v>
      </c>
      <c r="D281" s="29">
        <v>225.95</v>
      </c>
      <c r="E281" s="29">
        <v>238.87</v>
      </c>
      <c r="F281" s="28">
        <v>156.94999999999999</v>
      </c>
      <c r="G281" s="29">
        <v>166.51</v>
      </c>
      <c r="H281" s="29">
        <v>228.73</v>
      </c>
      <c r="I281" s="29">
        <v>252.66</v>
      </c>
      <c r="J281" s="28">
        <v>152.22999999999999</v>
      </c>
      <c r="K281" s="29">
        <v>168.65</v>
      </c>
      <c r="L281" s="29">
        <v>161.44999999999999</v>
      </c>
      <c r="M281" s="28">
        <v>215.11</v>
      </c>
      <c r="N281" s="36"/>
      <c r="P281" s="35"/>
      <c r="Q281" s="35"/>
    </row>
    <row r="282" spans="1:17" s="34" customFormat="1" x14ac:dyDescent="0.5">
      <c r="A282" s="33"/>
      <c r="B282" s="33" t="s">
        <v>191</v>
      </c>
      <c r="C282" s="32">
        <v>180.03</v>
      </c>
      <c r="D282" s="32">
        <v>228.39</v>
      </c>
      <c r="E282" s="32">
        <v>231.03</v>
      </c>
      <c r="F282" s="31">
        <v>156.13999999999999</v>
      </c>
      <c r="G282" s="32">
        <v>166.99</v>
      </c>
      <c r="H282" s="32">
        <v>231.95</v>
      </c>
      <c r="I282" s="32">
        <v>253.91</v>
      </c>
      <c r="J282" s="31">
        <v>152.22999999999999</v>
      </c>
      <c r="K282" s="32">
        <v>170.17</v>
      </c>
      <c r="L282" s="32">
        <v>159.46</v>
      </c>
      <c r="M282" s="31">
        <v>205.25</v>
      </c>
      <c r="N282" s="36"/>
      <c r="P282" s="35"/>
      <c r="Q282" s="35"/>
    </row>
    <row r="283" spans="1:17" x14ac:dyDescent="0.5">
      <c r="A283" s="30"/>
      <c r="B283" s="30" t="s">
        <v>176</v>
      </c>
      <c r="C283" s="29">
        <v>184.9</v>
      </c>
      <c r="D283" s="29">
        <v>230.21</v>
      </c>
      <c r="E283" s="29">
        <v>239.63</v>
      </c>
      <c r="F283" s="28">
        <v>160.6</v>
      </c>
      <c r="G283" s="29">
        <v>170.63</v>
      </c>
      <c r="H283" s="29">
        <v>233.87</v>
      </c>
      <c r="I283" s="29">
        <v>259.35000000000002</v>
      </c>
      <c r="J283" s="28">
        <v>156.05000000000001</v>
      </c>
      <c r="K283" s="29">
        <v>172.07</v>
      </c>
      <c r="L283" s="29">
        <v>167.21</v>
      </c>
      <c r="M283" s="28">
        <v>217.71</v>
      </c>
    </row>
    <row r="284" spans="1:17" x14ac:dyDescent="0.5">
      <c r="A284" s="33"/>
      <c r="B284" s="33" t="s">
        <v>179</v>
      </c>
      <c r="C284" s="32">
        <v>181.19</v>
      </c>
      <c r="D284" s="32">
        <v>233.97</v>
      </c>
      <c r="E284" s="32">
        <v>221.23</v>
      </c>
      <c r="F284" s="31">
        <v>159.44999999999999</v>
      </c>
      <c r="G284" s="32">
        <v>169.68</v>
      </c>
      <c r="H284" s="32">
        <v>237.78</v>
      </c>
      <c r="I284" s="32">
        <v>240.23</v>
      </c>
      <c r="J284" s="31">
        <v>155.22999999999999</v>
      </c>
      <c r="K284" s="32">
        <v>172</v>
      </c>
      <c r="L284" s="32">
        <v>164.19</v>
      </c>
      <c r="M284" s="31">
        <v>204.7</v>
      </c>
    </row>
    <row r="285" spans="1:17" x14ac:dyDescent="0.5">
      <c r="A285" s="30"/>
      <c r="B285" s="30" t="s">
        <v>180</v>
      </c>
      <c r="C285" s="29">
        <v>180.9</v>
      </c>
      <c r="D285" s="29">
        <v>239.1</v>
      </c>
      <c r="E285" s="29">
        <v>212.25</v>
      </c>
      <c r="F285" s="28">
        <v>160.46</v>
      </c>
      <c r="G285" s="29">
        <v>170.9</v>
      </c>
      <c r="H285" s="29">
        <v>242.39</v>
      </c>
      <c r="I285" s="29">
        <v>225.28</v>
      </c>
      <c r="J285" s="28">
        <v>156.69999999999999</v>
      </c>
      <c r="K285" s="29">
        <v>172.71</v>
      </c>
      <c r="L285" s="29">
        <v>166.62</v>
      </c>
      <c r="M285" s="28">
        <v>201.84</v>
      </c>
    </row>
    <row r="286" spans="1:17" x14ac:dyDescent="0.5">
      <c r="A286" s="33"/>
      <c r="B286" s="33" t="s">
        <v>192</v>
      </c>
      <c r="C286" s="32">
        <v>184.68</v>
      </c>
      <c r="D286" s="32">
        <v>243.73</v>
      </c>
      <c r="E286" s="32">
        <v>219.94</v>
      </c>
      <c r="F286" s="31">
        <v>162.99</v>
      </c>
      <c r="G286" s="32">
        <v>174.57</v>
      </c>
      <c r="H286" s="32">
        <v>246.62</v>
      </c>
      <c r="I286" s="32">
        <v>243</v>
      </c>
      <c r="J286" s="31">
        <v>159.59</v>
      </c>
      <c r="K286" s="32">
        <v>175.51</v>
      </c>
      <c r="L286" s="32">
        <v>172.37</v>
      </c>
      <c r="M286" s="31">
        <v>208.14</v>
      </c>
    </row>
    <row r="287" spans="1:17" x14ac:dyDescent="0.5">
      <c r="A287" s="30"/>
      <c r="B287" s="30" t="s">
        <v>182</v>
      </c>
      <c r="C287" s="29">
        <v>187.27</v>
      </c>
      <c r="D287" s="29">
        <v>246.77</v>
      </c>
      <c r="E287" s="29">
        <v>220.86</v>
      </c>
      <c r="F287" s="28">
        <v>165.95</v>
      </c>
      <c r="G287" s="29">
        <v>176.35</v>
      </c>
      <c r="H287" s="29">
        <v>249.37</v>
      </c>
      <c r="I287" s="29">
        <v>242.74</v>
      </c>
      <c r="J287" s="28">
        <v>161.30000000000001</v>
      </c>
      <c r="K287" s="29">
        <v>177.22</v>
      </c>
      <c r="L287" s="29">
        <v>174.28</v>
      </c>
      <c r="M287" s="28">
        <v>212.96</v>
      </c>
    </row>
    <row r="288" spans="1:17" x14ac:dyDescent="0.5">
      <c r="A288" s="33"/>
      <c r="B288" s="33" t="s">
        <v>193</v>
      </c>
      <c r="C288" s="32">
        <v>184.57</v>
      </c>
      <c r="D288" s="32">
        <v>255.67</v>
      </c>
      <c r="E288" s="32">
        <v>203.69</v>
      </c>
      <c r="F288" s="31">
        <v>164.91</v>
      </c>
      <c r="G288" s="32">
        <v>175.85</v>
      </c>
      <c r="H288" s="32">
        <v>258.2</v>
      </c>
      <c r="I288" s="32">
        <v>217.94</v>
      </c>
      <c r="J288" s="31">
        <v>160.51</v>
      </c>
      <c r="K288" s="32">
        <v>177.54</v>
      </c>
      <c r="L288" s="32">
        <v>171.84</v>
      </c>
      <c r="M288" s="31">
        <v>202.55</v>
      </c>
    </row>
    <row r="289" spans="1:17" x14ac:dyDescent="0.5">
      <c r="A289" s="30">
        <v>2023</v>
      </c>
      <c r="B289" s="30" t="s">
        <v>194</v>
      </c>
      <c r="C289" s="29">
        <v>185.05</v>
      </c>
      <c r="D289" s="29">
        <v>263.61</v>
      </c>
      <c r="E289" s="29">
        <v>190.3</v>
      </c>
      <c r="F289" s="28">
        <v>167.72</v>
      </c>
      <c r="G289" s="29">
        <v>179.15</v>
      </c>
      <c r="H289" s="29">
        <v>266.2</v>
      </c>
      <c r="I289" s="29">
        <v>218.02</v>
      </c>
      <c r="J289" s="28">
        <v>163.21</v>
      </c>
      <c r="K289" s="29">
        <v>181.82</v>
      </c>
      <c r="L289" s="29">
        <v>172.82</v>
      </c>
      <c r="M289" s="28">
        <v>193.3</v>
      </c>
      <c r="N289" s="16">
        <f>(C289-C277)/C277</f>
        <v>0.16200941915227637</v>
      </c>
    </row>
    <row r="290" spans="1:17" x14ac:dyDescent="0.5">
      <c r="A290" s="27"/>
      <c r="B290" s="27" t="s">
        <v>195</v>
      </c>
      <c r="C290" s="26">
        <v>187.18</v>
      </c>
      <c r="D290" s="26">
        <v>271.32</v>
      </c>
      <c r="E290" s="26">
        <v>189.45</v>
      </c>
      <c r="F290" s="25">
        <v>169.55</v>
      </c>
      <c r="G290" s="26">
        <v>181.43</v>
      </c>
      <c r="H290" s="26">
        <v>272.36</v>
      </c>
      <c r="I290" s="26">
        <v>220.44</v>
      </c>
      <c r="J290" s="25">
        <v>164.86</v>
      </c>
      <c r="K290" s="26">
        <v>184.25</v>
      </c>
      <c r="L290" s="26">
        <v>174.75</v>
      </c>
      <c r="M290" s="25">
        <v>194.68</v>
      </c>
    </row>
    <row r="291" spans="1:17" x14ac:dyDescent="0.5">
      <c r="A291" s="24"/>
      <c r="B291" s="24"/>
      <c r="C291" s="24"/>
      <c r="D291" s="24"/>
      <c r="E291" s="24"/>
      <c r="F291" s="24"/>
      <c r="G291" s="24"/>
      <c r="H291" s="24"/>
      <c r="I291" s="24"/>
      <c r="J291" s="24"/>
      <c r="K291" s="24"/>
      <c r="L291" s="24"/>
      <c r="M291" s="24"/>
    </row>
    <row r="292" spans="1:17" x14ac:dyDescent="0.5">
      <c r="A292" s="381" t="s">
        <v>196</v>
      </c>
      <c r="B292" s="382"/>
      <c r="C292" s="382"/>
      <c r="D292" s="382"/>
      <c r="E292" s="382"/>
      <c r="F292" s="382"/>
      <c r="G292" s="382"/>
      <c r="H292" s="382"/>
      <c r="I292" s="382"/>
      <c r="J292" s="382"/>
      <c r="K292" s="382"/>
      <c r="L292" s="382"/>
      <c r="M292" s="383"/>
    </row>
    <row r="293" spans="1:17" s="21" customFormat="1" ht="24.75" customHeight="1" x14ac:dyDescent="0.45">
      <c r="A293" s="369" t="s">
        <v>197</v>
      </c>
      <c r="B293" s="370"/>
      <c r="C293" s="370"/>
      <c r="D293" s="370"/>
      <c r="E293" s="370"/>
      <c r="F293" s="370"/>
      <c r="G293" s="370"/>
      <c r="H293" s="370"/>
      <c r="I293" s="370"/>
      <c r="J293" s="370"/>
      <c r="K293" s="370"/>
      <c r="L293" s="370"/>
      <c r="M293" s="371"/>
      <c r="N293" s="23"/>
      <c r="P293" s="22"/>
      <c r="Q293" s="22"/>
    </row>
    <row r="294" spans="1:17" x14ac:dyDescent="0.5">
      <c r="A294" s="366" t="s">
        <v>198</v>
      </c>
      <c r="B294" s="367"/>
      <c r="C294" s="367"/>
      <c r="D294" s="367"/>
      <c r="E294" s="367"/>
      <c r="F294" s="367"/>
      <c r="G294" s="367"/>
      <c r="H294" s="367"/>
      <c r="I294" s="367"/>
      <c r="J294" s="367"/>
      <c r="K294" s="367"/>
      <c r="L294" s="367"/>
      <c r="M294" s="368"/>
    </row>
    <row r="295" spans="1:17" x14ac:dyDescent="0.5">
      <c r="A295" s="366" t="s">
        <v>199</v>
      </c>
      <c r="B295" s="367"/>
      <c r="C295" s="367"/>
      <c r="D295" s="367"/>
      <c r="E295" s="367"/>
      <c r="F295" s="367"/>
      <c r="G295" s="367"/>
      <c r="H295" s="367"/>
      <c r="I295" s="367"/>
      <c r="J295" s="367"/>
      <c r="K295" s="367"/>
      <c r="L295" s="367"/>
      <c r="M295" s="368"/>
    </row>
    <row r="296" spans="1:17" x14ac:dyDescent="0.5">
      <c r="A296" s="372" t="s">
        <v>200</v>
      </c>
      <c r="B296" s="373"/>
      <c r="C296" s="373"/>
      <c r="D296" s="373"/>
      <c r="E296" s="373"/>
      <c r="F296" s="373"/>
      <c r="G296" s="373"/>
      <c r="H296" s="373"/>
      <c r="I296" s="373"/>
      <c r="J296" s="373"/>
      <c r="K296" s="373"/>
      <c r="L296" s="373"/>
      <c r="M296" s="374"/>
    </row>
    <row r="297" spans="1:17" ht="27.75" customHeight="1" x14ac:dyDescent="0.5">
      <c r="A297" s="375" t="s">
        <v>201</v>
      </c>
      <c r="B297" s="376"/>
      <c r="C297" s="376"/>
      <c r="D297" s="376"/>
      <c r="E297" s="376"/>
      <c r="F297" s="376"/>
      <c r="G297" s="376"/>
      <c r="H297" s="376"/>
      <c r="I297" s="376"/>
      <c r="J297" s="376"/>
      <c r="K297" s="376"/>
      <c r="L297" s="376"/>
      <c r="M297" s="377"/>
    </row>
    <row r="298" spans="1:17" x14ac:dyDescent="0.5">
      <c r="A298" s="20" t="s">
        <v>202</v>
      </c>
      <c r="B298" s="19"/>
      <c r="C298" s="19"/>
      <c r="D298" s="19"/>
      <c r="E298" s="19"/>
      <c r="F298" s="19"/>
      <c r="G298" s="19"/>
      <c r="H298" s="19"/>
      <c r="I298" s="19"/>
      <c r="J298" s="19"/>
      <c r="K298" s="19"/>
      <c r="L298" s="19"/>
      <c r="M298" s="18"/>
    </row>
    <row r="299" spans="1:17" x14ac:dyDescent="0.5">
      <c r="A299" s="378" t="s">
        <v>203</v>
      </c>
      <c r="B299" s="379"/>
      <c r="C299" s="379"/>
      <c r="D299" s="379"/>
      <c r="E299" s="379"/>
      <c r="F299" s="379"/>
      <c r="G299" s="379"/>
      <c r="H299" s="379"/>
      <c r="I299" s="379"/>
      <c r="J299" s="379"/>
      <c r="K299" s="379"/>
      <c r="L299" s="379"/>
      <c r="M299" s="380"/>
    </row>
  </sheetData>
  <mergeCells count="17">
    <mergeCell ref="A296:M296"/>
    <mergeCell ref="A297:M297"/>
    <mergeCell ref="A299:M299"/>
    <mergeCell ref="A292:M292"/>
    <mergeCell ref="A295:M295"/>
    <mergeCell ref="A5:B5"/>
    <mergeCell ref="G4:J4"/>
    <mergeCell ref="C4:F4"/>
    <mergeCell ref="K4:M4"/>
    <mergeCell ref="A294:M294"/>
    <mergeCell ref="A293:M293"/>
    <mergeCell ref="P31:P32"/>
    <mergeCell ref="P6:Q6"/>
    <mergeCell ref="C1:M1"/>
    <mergeCell ref="C2:M2"/>
    <mergeCell ref="C3:M3"/>
    <mergeCell ref="Q31:Q32"/>
  </mergeCells>
  <printOptions horizontalCentered="1"/>
  <pageMargins left="0.75" right="0.75" top="0.21" bottom="0.36" header="0" footer="0"/>
  <pageSetup orientation="landscape"/>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A711F-962B-E74A-86EE-AB3362F3F78E}">
  <dimension ref="A1"/>
  <sheetViews>
    <sheetView topLeftCell="A5" zoomScale="186" zoomScaleNormal="186" workbookViewId="0">
      <selection activeCell="B40" sqref="B40"/>
    </sheetView>
  </sheetViews>
  <sheetFormatPr defaultColWidth="11" defaultRowHeight="15.9" x14ac:dyDescent="0.45"/>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3E0B5-6258-0041-AD90-525459FF97B0}">
  <dimension ref="B2:B4"/>
  <sheetViews>
    <sheetView workbookViewId="0">
      <selection activeCell="I27" sqref="I27"/>
    </sheetView>
  </sheetViews>
  <sheetFormatPr defaultColWidth="11" defaultRowHeight="15.9" x14ac:dyDescent="0.45"/>
  <cols>
    <col min="1" max="1" width="6.5" customWidth="1"/>
    <col min="2" max="2" width="22.35546875" customWidth="1"/>
  </cols>
  <sheetData>
    <row r="2" spans="2:2" ht="16.3" thickBot="1" x14ac:dyDescent="0.5">
      <c r="B2" s="89" t="s">
        <v>204</v>
      </c>
    </row>
    <row r="3" spans="2:2" x14ac:dyDescent="0.45">
      <c r="B3" t="s">
        <v>79</v>
      </c>
    </row>
    <row r="4" spans="2:2" x14ac:dyDescent="0.45">
      <c r="B4" t="s">
        <v>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2F16C-CCF7-6442-8589-AE13F3E54FB4}">
  <dimension ref="A1:O100"/>
  <sheetViews>
    <sheetView topLeftCell="A71" zoomScaleNormal="70" workbookViewId="0">
      <selection activeCell="C95" sqref="C95"/>
    </sheetView>
  </sheetViews>
  <sheetFormatPr defaultColWidth="11.5" defaultRowHeight="15.9" outlineLevelRow="1" x14ac:dyDescent="0.45"/>
  <cols>
    <col min="1" max="1" width="57" customWidth="1"/>
    <col min="2" max="2" width="22" bestFit="1" customWidth="1"/>
    <col min="4" max="4" width="22.35546875" style="197" bestFit="1" customWidth="1"/>
    <col min="5" max="5" width="23.5" style="197" bestFit="1" customWidth="1"/>
    <col min="6" max="6" width="22.85546875" bestFit="1" customWidth="1"/>
    <col min="7" max="7" width="25" customWidth="1"/>
    <col min="8" max="9" width="25" hidden="1" customWidth="1"/>
    <col min="10" max="10" width="14" style="162" bestFit="1" customWidth="1"/>
    <col min="14" max="14" width="17.5" bestFit="1" customWidth="1"/>
    <col min="15" max="15" width="19" bestFit="1" customWidth="1"/>
  </cols>
  <sheetData>
    <row r="1" spans="1:12" ht="16.3" thickBot="1" x14ac:dyDescent="0.5">
      <c r="A1" s="158" t="s">
        <v>205</v>
      </c>
      <c r="B1" s="159" t="s">
        <v>206</v>
      </c>
      <c r="C1" s="159" t="s">
        <v>207</v>
      </c>
      <c r="D1" s="159" t="s">
        <v>208</v>
      </c>
      <c r="E1" s="159" t="s">
        <v>209</v>
      </c>
      <c r="F1" s="160" t="s">
        <v>210</v>
      </c>
      <c r="G1" s="160" t="s">
        <v>211</v>
      </c>
      <c r="H1" s="161"/>
      <c r="I1" s="161"/>
      <c r="K1" s="161" t="s">
        <v>212</v>
      </c>
      <c r="L1">
        <v>4700</v>
      </c>
    </row>
    <row r="2" spans="1:12" outlineLevel="1" x14ac:dyDescent="0.45">
      <c r="A2" s="163" t="s">
        <v>213</v>
      </c>
      <c r="B2" s="164" t="s">
        <v>214</v>
      </c>
      <c r="C2" s="164">
        <v>1</v>
      </c>
      <c r="D2" s="165">
        <v>6000000</v>
      </c>
      <c r="E2" s="166">
        <f>+D2*C2</f>
        <v>6000000</v>
      </c>
      <c r="F2" s="167"/>
      <c r="G2" s="167" t="s">
        <v>215</v>
      </c>
      <c r="H2" s="168"/>
      <c r="I2" s="168"/>
      <c r="J2" s="162">
        <f t="shared" ref="J2:J65" si="0">+E2/$E$88</f>
        <v>1.5006894158112072E-3</v>
      </c>
    </row>
    <row r="3" spans="1:12" outlineLevel="1" x14ac:dyDescent="0.45">
      <c r="A3" s="169" t="s">
        <v>216</v>
      </c>
      <c r="B3" s="170" t="s">
        <v>214</v>
      </c>
      <c r="C3" s="170">
        <v>1</v>
      </c>
      <c r="D3" s="171">
        <v>5000000</v>
      </c>
      <c r="E3" s="166">
        <f>+D3*C3</f>
        <v>5000000</v>
      </c>
      <c r="F3" s="172"/>
      <c r="G3" s="172" t="s">
        <v>215</v>
      </c>
      <c r="H3" s="168"/>
      <c r="I3" s="168"/>
      <c r="J3" s="162">
        <f t="shared" si="0"/>
        <v>1.250574513176006E-3</v>
      </c>
    </row>
    <row r="4" spans="1:12" outlineLevel="1" x14ac:dyDescent="0.45">
      <c r="A4" s="173" t="s">
        <v>217</v>
      </c>
      <c r="B4" s="174" t="s">
        <v>214</v>
      </c>
      <c r="C4" s="174">
        <v>1</v>
      </c>
      <c r="D4" s="166">
        <v>9000000</v>
      </c>
      <c r="E4" s="166">
        <f t="shared" ref="E4:E13" si="1">+D4*C4</f>
        <v>9000000</v>
      </c>
      <c r="F4" s="172"/>
      <c r="G4" s="172" t="s">
        <v>215</v>
      </c>
      <c r="H4" s="168"/>
      <c r="I4" s="168"/>
      <c r="J4" s="162">
        <f t="shared" si="0"/>
        <v>2.2510341237168105E-3</v>
      </c>
    </row>
    <row r="5" spans="1:12" outlineLevel="1" x14ac:dyDescent="0.45">
      <c r="A5" s="173" t="s">
        <v>218</v>
      </c>
      <c r="B5" s="174" t="s">
        <v>214</v>
      </c>
      <c r="C5" s="174">
        <v>1</v>
      </c>
      <c r="D5" s="166">
        <v>30000000</v>
      </c>
      <c r="E5" s="166">
        <f t="shared" si="1"/>
        <v>30000000</v>
      </c>
      <c r="F5" s="172"/>
      <c r="G5" s="172" t="s">
        <v>219</v>
      </c>
      <c r="H5" s="168"/>
      <c r="I5" s="168"/>
      <c r="J5" s="162">
        <f t="shared" si="0"/>
        <v>7.5034470790560359E-3</v>
      </c>
    </row>
    <row r="6" spans="1:12" outlineLevel="1" x14ac:dyDescent="0.45">
      <c r="A6" s="173" t="s">
        <v>220</v>
      </c>
      <c r="B6" s="174" t="s">
        <v>214</v>
      </c>
      <c r="C6" s="174">
        <v>1</v>
      </c>
      <c r="D6" s="166">
        <v>10000000</v>
      </c>
      <c r="E6" s="166">
        <f t="shared" si="1"/>
        <v>10000000</v>
      </c>
      <c r="F6" s="172"/>
      <c r="G6" s="172" t="s">
        <v>219</v>
      </c>
      <c r="H6" s="168"/>
      <c r="I6" s="168"/>
      <c r="J6" s="162">
        <f t="shared" si="0"/>
        <v>2.501149026352012E-3</v>
      </c>
    </row>
    <row r="7" spans="1:12" outlineLevel="1" x14ac:dyDescent="0.45">
      <c r="A7" s="173" t="s">
        <v>221</v>
      </c>
      <c r="B7" s="174" t="s">
        <v>214</v>
      </c>
      <c r="C7" s="174">
        <v>1</v>
      </c>
      <c r="D7" s="166">
        <v>3500000</v>
      </c>
      <c r="E7" s="166">
        <f t="shared" si="1"/>
        <v>3500000</v>
      </c>
      <c r="F7" s="172"/>
      <c r="G7" s="172" t="s">
        <v>219</v>
      </c>
      <c r="H7" s="168"/>
      <c r="I7" s="168"/>
      <c r="J7" s="162">
        <f t="shared" si="0"/>
        <v>8.7540215922320413E-4</v>
      </c>
    </row>
    <row r="8" spans="1:12" outlineLevel="1" x14ac:dyDescent="0.45">
      <c r="A8" s="173" t="s">
        <v>222</v>
      </c>
      <c r="B8" s="174" t="s">
        <v>223</v>
      </c>
      <c r="C8" s="174">
        <v>5</v>
      </c>
      <c r="D8" s="166">
        <v>4000000</v>
      </c>
      <c r="E8" s="166">
        <f t="shared" si="1"/>
        <v>20000000</v>
      </c>
      <c r="F8" s="175"/>
      <c r="G8" s="175" t="s">
        <v>224</v>
      </c>
      <c r="H8" s="168"/>
      <c r="I8" s="168"/>
      <c r="J8" s="162">
        <f t="shared" si="0"/>
        <v>5.0022980527040239E-3</v>
      </c>
    </row>
    <row r="9" spans="1:12" outlineLevel="1" x14ac:dyDescent="0.45">
      <c r="A9" s="176" t="s">
        <v>225</v>
      </c>
      <c r="B9" s="177" t="s">
        <v>214</v>
      </c>
      <c r="C9" s="177">
        <v>1</v>
      </c>
      <c r="D9" s="178">
        <v>15000000</v>
      </c>
      <c r="E9" s="178">
        <f t="shared" si="1"/>
        <v>15000000</v>
      </c>
      <c r="F9" s="179"/>
      <c r="G9" s="179" t="s">
        <v>215</v>
      </c>
      <c r="H9" s="168"/>
      <c r="I9" s="168"/>
      <c r="J9" s="162">
        <f t="shared" si="0"/>
        <v>3.751723539528018E-3</v>
      </c>
    </row>
    <row r="10" spans="1:12" outlineLevel="1" x14ac:dyDescent="0.45">
      <c r="A10" s="176" t="s">
        <v>226</v>
      </c>
      <c r="B10" s="177" t="s">
        <v>214</v>
      </c>
      <c r="C10" s="177">
        <v>1</v>
      </c>
      <c r="D10" s="178">
        <v>17000000</v>
      </c>
      <c r="E10" s="178">
        <f t="shared" si="1"/>
        <v>17000000</v>
      </c>
      <c r="F10" s="179"/>
      <c r="G10" s="179" t="s">
        <v>227</v>
      </c>
      <c r="H10" s="168"/>
      <c r="I10" s="168"/>
      <c r="J10" s="162">
        <f t="shared" si="0"/>
        <v>4.25195334479842E-3</v>
      </c>
    </row>
    <row r="11" spans="1:12" outlineLevel="1" x14ac:dyDescent="0.45">
      <c r="A11" s="176" t="s">
        <v>228</v>
      </c>
      <c r="B11" s="177" t="s">
        <v>214</v>
      </c>
      <c r="C11" s="177">
        <v>1</v>
      </c>
      <c r="D11" s="178">
        <v>10000000</v>
      </c>
      <c r="E11" s="178">
        <f t="shared" si="1"/>
        <v>10000000</v>
      </c>
      <c r="F11" s="179"/>
      <c r="G11" s="179" t="s">
        <v>219</v>
      </c>
      <c r="H11" s="168"/>
      <c r="I11" s="168"/>
      <c r="J11" s="162">
        <f t="shared" si="0"/>
        <v>2.501149026352012E-3</v>
      </c>
    </row>
    <row r="12" spans="1:12" outlineLevel="1" x14ac:dyDescent="0.45">
      <c r="A12" s="176" t="s">
        <v>229</v>
      </c>
      <c r="B12" s="177" t="s">
        <v>230</v>
      </c>
      <c r="C12" s="177">
        <v>1</v>
      </c>
      <c r="D12" s="178">
        <v>12000000</v>
      </c>
      <c r="E12" s="178">
        <f t="shared" si="1"/>
        <v>12000000</v>
      </c>
      <c r="F12" s="179"/>
      <c r="G12" s="179" t="s">
        <v>231</v>
      </c>
      <c r="H12" s="168"/>
      <c r="I12" s="168"/>
      <c r="J12" s="162">
        <f t="shared" si="0"/>
        <v>3.0013788316224145E-3</v>
      </c>
    </row>
    <row r="13" spans="1:12" outlineLevel="1" x14ac:dyDescent="0.45">
      <c r="A13" s="176" t="s">
        <v>232</v>
      </c>
      <c r="B13" s="177" t="s">
        <v>214</v>
      </c>
      <c r="C13" s="177">
        <v>1</v>
      </c>
      <c r="D13" s="178">
        <v>20000000</v>
      </c>
      <c r="E13" s="178">
        <f t="shared" si="1"/>
        <v>20000000</v>
      </c>
      <c r="F13" s="179"/>
      <c r="G13" s="179" t="s">
        <v>233</v>
      </c>
      <c r="H13" s="168"/>
      <c r="I13" s="168"/>
      <c r="J13" s="162">
        <f t="shared" si="0"/>
        <v>5.0022980527040239E-3</v>
      </c>
    </row>
    <row r="14" spans="1:12" ht="18.899999999999999" thickBot="1" x14ac:dyDescent="0.55000000000000004">
      <c r="A14" s="384" t="s">
        <v>219</v>
      </c>
      <c r="B14" s="385"/>
      <c r="C14" s="385"/>
      <c r="D14" s="385"/>
      <c r="E14" s="180">
        <f>+SUM(E2:E13)</f>
        <v>157500000</v>
      </c>
      <c r="F14" s="181"/>
      <c r="G14" s="181"/>
      <c r="H14" s="182"/>
      <c r="I14" s="182"/>
      <c r="J14" s="183">
        <f t="shared" si="0"/>
        <v>3.9393097165044189E-2</v>
      </c>
    </row>
    <row r="15" spans="1:12" outlineLevel="1" x14ac:dyDescent="0.45">
      <c r="A15" s="184" t="s">
        <v>234</v>
      </c>
      <c r="B15" s="185" t="s">
        <v>214</v>
      </c>
      <c r="C15" s="185">
        <v>109</v>
      </c>
      <c r="D15" s="186">
        <f>294500*22</f>
        <v>6479000</v>
      </c>
      <c r="E15" s="187">
        <f>+D15*C15</f>
        <v>706211000</v>
      </c>
      <c r="F15" s="188"/>
      <c r="G15" s="188" t="s">
        <v>227</v>
      </c>
      <c r="H15" s="189"/>
      <c r="I15" s="189"/>
      <c r="J15" s="162">
        <f t="shared" si="0"/>
        <v>0.17663389550490807</v>
      </c>
    </row>
    <row r="16" spans="1:12" outlineLevel="1" x14ac:dyDescent="0.45">
      <c r="A16" s="190" t="s">
        <v>235</v>
      </c>
      <c r="B16" s="191" t="s">
        <v>236</v>
      </c>
      <c r="C16" s="191">
        <f>+C15*8</f>
        <v>872</v>
      </c>
      <c r="D16" s="186">
        <v>198000</v>
      </c>
      <c r="E16" s="192">
        <f>+D16*C16</f>
        <v>172656000</v>
      </c>
      <c r="F16" s="193"/>
      <c r="G16" s="193" t="s">
        <v>227</v>
      </c>
      <c r="H16" s="189"/>
      <c r="I16" s="189"/>
      <c r="J16" s="162">
        <f t="shared" si="0"/>
        <v>4.3183838629383298E-2</v>
      </c>
    </row>
    <row r="17" spans="1:15" outlineLevel="1" x14ac:dyDescent="0.45">
      <c r="A17" s="194" t="s">
        <v>237</v>
      </c>
      <c r="B17" s="195" t="s">
        <v>238</v>
      </c>
      <c r="C17" s="195">
        <f>109*22*575</f>
        <v>1378850</v>
      </c>
      <c r="D17" s="186">
        <f>0.23*L1</f>
        <v>1081</v>
      </c>
      <c r="E17" s="186">
        <f>+D17*C17</f>
        <v>1490536850</v>
      </c>
      <c r="F17" s="196"/>
      <c r="G17" s="196" t="s">
        <v>239</v>
      </c>
      <c r="H17" s="189"/>
      <c r="I17" s="189"/>
      <c r="J17" s="162">
        <f t="shared" si="0"/>
        <v>0.37280547911192946</v>
      </c>
      <c r="O17" s="197"/>
    </row>
    <row r="18" spans="1:15" outlineLevel="1" x14ac:dyDescent="0.45">
      <c r="A18" s="194" t="s">
        <v>240</v>
      </c>
      <c r="B18" s="195" t="s">
        <v>236</v>
      </c>
      <c r="C18" s="195">
        <v>5</v>
      </c>
      <c r="D18" s="186">
        <v>32100000</v>
      </c>
      <c r="E18" s="186">
        <f t="shared" ref="E18:E44" si="2">+D18*C18</f>
        <v>160500000</v>
      </c>
      <c r="F18" s="196"/>
      <c r="G18" s="196" t="s">
        <v>233</v>
      </c>
      <c r="H18" s="189"/>
      <c r="I18" s="189"/>
      <c r="J18" s="162">
        <f t="shared" si="0"/>
        <v>4.0143441872949791E-2</v>
      </c>
      <c r="O18" s="197"/>
    </row>
    <row r="19" spans="1:15" outlineLevel="1" x14ac:dyDescent="0.45">
      <c r="A19" s="194" t="s">
        <v>241</v>
      </c>
      <c r="B19" s="195" t="s">
        <v>236</v>
      </c>
      <c r="C19" s="195">
        <v>1</v>
      </c>
      <c r="D19" s="186">
        <v>75000000</v>
      </c>
      <c r="E19" s="186">
        <f t="shared" si="2"/>
        <v>75000000</v>
      </c>
      <c r="F19" s="196" t="s">
        <v>242</v>
      </c>
      <c r="G19" s="196" t="s">
        <v>243</v>
      </c>
      <c r="H19" s="189"/>
      <c r="I19" s="189"/>
      <c r="J19" s="162">
        <f t="shared" si="0"/>
        <v>1.875861769764009E-2</v>
      </c>
      <c r="O19" s="197"/>
    </row>
    <row r="20" spans="1:15" outlineLevel="1" x14ac:dyDescent="0.45">
      <c r="A20" s="194" t="s">
        <v>244</v>
      </c>
      <c r="B20" s="195" t="s">
        <v>236</v>
      </c>
      <c r="C20" s="195">
        <v>2</v>
      </c>
      <c r="D20" s="186">
        <v>6000000</v>
      </c>
      <c r="E20" s="186">
        <f t="shared" si="2"/>
        <v>12000000</v>
      </c>
      <c r="F20" s="196"/>
      <c r="G20" s="196" t="s">
        <v>243</v>
      </c>
      <c r="H20" s="189"/>
      <c r="I20" s="189"/>
      <c r="J20" s="162">
        <f t="shared" si="0"/>
        <v>3.0013788316224145E-3</v>
      </c>
    </row>
    <row r="21" spans="1:15" outlineLevel="1" x14ac:dyDescent="0.45">
      <c r="A21" s="194" t="s">
        <v>245</v>
      </c>
      <c r="B21" s="195" t="s">
        <v>214</v>
      </c>
      <c r="C21" s="195">
        <v>1</v>
      </c>
      <c r="D21" s="186">
        <f>90000000*1.2*1.3/6.25</f>
        <v>22464000</v>
      </c>
      <c r="E21" s="186">
        <f t="shared" si="2"/>
        <v>22464000</v>
      </c>
      <c r="F21" s="196"/>
      <c r="G21" s="196" t="s">
        <v>243</v>
      </c>
      <c r="H21" s="189"/>
      <c r="I21" s="189"/>
      <c r="J21" s="162">
        <f t="shared" si="0"/>
        <v>5.6185811727971595E-3</v>
      </c>
    </row>
    <row r="22" spans="1:15" outlineLevel="1" x14ac:dyDescent="0.45">
      <c r="A22" s="194" t="s">
        <v>246</v>
      </c>
      <c r="B22" s="195" t="s">
        <v>247</v>
      </c>
      <c r="C22" s="195">
        <f>23*3*1.3</f>
        <v>89.7</v>
      </c>
      <c r="D22" s="186">
        <v>64600</v>
      </c>
      <c r="E22" s="186">
        <f t="shared" si="2"/>
        <v>5794620</v>
      </c>
      <c r="F22" s="196"/>
      <c r="G22" s="196" t="s">
        <v>248</v>
      </c>
      <c r="H22" s="189"/>
      <c r="I22" s="189"/>
      <c r="J22" s="162">
        <f t="shared" si="0"/>
        <v>1.4493208171079896E-3</v>
      </c>
    </row>
    <row r="23" spans="1:15" outlineLevel="1" x14ac:dyDescent="0.45">
      <c r="A23" s="194" t="s">
        <v>249</v>
      </c>
      <c r="B23" s="195" t="s">
        <v>236</v>
      </c>
      <c r="C23" s="195">
        <v>1</v>
      </c>
      <c r="D23" s="186">
        <v>600000</v>
      </c>
      <c r="E23" s="186">
        <f t="shared" si="2"/>
        <v>600000</v>
      </c>
      <c r="F23" s="196"/>
      <c r="G23" s="196" t="s">
        <v>248</v>
      </c>
      <c r="H23" s="189"/>
      <c r="I23" s="189"/>
      <c r="J23" s="162">
        <f t="shared" si="0"/>
        <v>1.5006894158112072E-4</v>
      </c>
    </row>
    <row r="24" spans="1:15" outlineLevel="1" x14ac:dyDescent="0.45">
      <c r="A24" s="194" t="s">
        <v>250</v>
      </c>
      <c r="B24" s="195" t="s">
        <v>247</v>
      </c>
      <c r="C24" s="195">
        <f>157*3*1.3*1.5</f>
        <v>918.45</v>
      </c>
      <c r="D24" s="186">
        <f>15400*1.3</f>
        <v>20020</v>
      </c>
      <c r="E24" s="186">
        <f t="shared" si="2"/>
        <v>18387369</v>
      </c>
      <c r="F24" s="196"/>
      <c r="G24" s="196" t="s">
        <v>248</v>
      </c>
      <c r="H24" s="189" t="s">
        <v>251</v>
      </c>
      <c r="I24" s="189"/>
      <c r="J24" s="162">
        <f t="shared" si="0"/>
        <v>4.5989550071525165E-3</v>
      </c>
    </row>
    <row r="25" spans="1:15" outlineLevel="1" x14ac:dyDescent="0.45">
      <c r="A25" s="194" t="s">
        <v>252</v>
      </c>
      <c r="B25" s="195" t="s">
        <v>236</v>
      </c>
      <c r="C25" s="195">
        <f>3*5*2*1.1</f>
        <v>33</v>
      </c>
      <c r="D25" s="186">
        <v>13400</v>
      </c>
      <c r="E25" s="186">
        <f t="shared" si="2"/>
        <v>442200</v>
      </c>
      <c r="F25" s="196"/>
      <c r="G25" s="196" t="s">
        <v>248</v>
      </c>
      <c r="H25" s="189"/>
      <c r="I25" s="189"/>
      <c r="J25" s="162">
        <f t="shared" si="0"/>
        <v>1.1060080994528596E-4</v>
      </c>
    </row>
    <row r="26" spans="1:15" outlineLevel="1" x14ac:dyDescent="0.45">
      <c r="A26" s="194" t="s">
        <v>253</v>
      </c>
      <c r="B26" s="195" t="s">
        <v>247</v>
      </c>
      <c r="C26" s="195">
        <f>170*3*1.3*1.5</f>
        <v>994.5</v>
      </c>
      <c r="D26" s="186">
        <v>34950</v>
      </c>
      <c r="E26" s="186">
        <f t="shared" si="2"/>
        <v>34757775</v>
      </c>
      <c r="F26" s="196"/>
      <c r="G26" s="196" t="s">
        <v>248</v>
      </c>
      <c r="H26" s="189"/>
      <c r="I26" s="189"/>
      <c r="J26" s="162">
        <f t="shared" si="0"/>
        <v>8.6934375099412299E-3</v>
      </c>
    </row>
    <row r="27" spans="1:15" outlineLevel="1" x14ac:dyDescent="0.45">
      <c r="A27" s="194" t="s">
        <v>254</v>
      </c>
      <c r="B27" s="195" t="s">
        <v>236</v>
      </c>
      <c r="C27" s="195">
        <f>ROUNDUP(3*2*2*1.2,0)</f>
        <v>15</v>
      </c>
      <c r="D27" s="186">
        <v>44250</v>
      </c>
      <c r="E27" s="186">
        <f t="shared" si="2"/>
        <v>663750</v>
      </c>
      <c r="F27" s="196"/>
      <c r="G27" s="196" t="s">
        <v>248</v>
      </c>
      <c r="H27" s="189"/>
      <c r="I27" s="189"/>
      <c r="J27" s="162">
        <f t="shared" si="0"/>
        <v>1.6601376662411479E-4</v>
      </c>
    </row>
    <row r="28" spans="1:15" outlineLevel="1" x14ac:dyDescent="0.45">
      <c r="A28" s="194" t="s">
        <v>255</v>
      </c>
      <c r="B28" s="195" t="s">
        <v>247</v>
      </c>
      <c r="C28" s="195">
        <f>1024*2*1.4*1.6</f>
        <v>4587.5199999999995</v>
      </c>
      <c r="D28" s="186">
        <v>4000</v>
      </c>
      <c r="E28" s="186">
        <f t="shared" si="2"/>
        <v>18350079.999999996</v>
      </c>
      <c r="F28" s="196"/>
      <c r="G28" s="196" t="s">
        <v>248</v>
      </c>
      <c r="H28" s="198"/>
      <c r="I28" s="199"/>
      <c r="J28" s="162">
        <f t="shared" si="0"/>
        <v>4.5896284725481518E-3</v>
      </c>
    </row>
    <row r="29" spans="1:15" outlineLevel="1" x14ac:dyDescent="0.45">
      <c r="A29" s="194" t="s">
        <v>256</v>
      </c>
      <c r="B29" s="195" t="s">
        <v>214</v>
      </c>
      <c r="C29" s="195">
        <v>200</v>
      </c>
      <c r="D29" s="186">
        <v>4000</v>
      </c>
      <c r="E29" s="186">
        <f t="shared" si="2"/>
        <v>800000</v>
      </c>
      <c r="F29" s="196"/>
      <c r="G29" s="196" t="s">
        <v>248</v>
      </c>
      <c r="H29" s="189"/>
      <c r="I29" s="189"/>
      <c r="J29" s="162">
        <f t="shared" si="0"/>
        <v>2.0009192210816094E-4</v>
      </c>
    </row>
    <row r="30" spans="1:15" outlineLevel="1" x14ac:dyDescent="0.45">
      <c r="A30" s="194" t="s">
        <v>257</v>
      </c>
      <c r="B30" s="195" t="s">
        <v>247</v>
      </c>
      <c r="C30" s="195">
        <f>+(19*5)+(150*1.3)*1.6</f>
        <v>407</v>
      </c>
      <c r="D30" s="186">
        <v>33500</v>
      </c>
      <c r="E30" s="186">
        <f t="shared" si="2"/>
        <v>13634500</v>
      </c>
      <c r="F30" s="196"/>
      <c r="G30" s="196" t="s">
        <v>248</v>
      </c>
      <c r="H30" s="189"/>
      <c r="I30" s="189"/>
      <c r="J30" s="162">
        <f t="shared" si="0"/>
        <v>3.4101916399796508E-3</v>
      </c>
    </row>
    <row r="31" spans="1:15" outlineLevel="1" x14ac:dyDescent="0.45">
      <c r="A31" s="194" t="s">
        <v>258</v>
      </c>
      <c r="B31" s="195" t="s">
        <v>214</v>
      </c>
      <c r="C31" s="195">
        <v>30</v>
      </c>
      <c r="D31" s="186">
        <v>206150</v>
      </c>
      <c r="E31" s="186">
        <f t="shared" si="2"/>
        <v>6184500</v>
      </c>
      <c r="F31" s="196"/>
      <c r="G31" s="196" t="s">
        <v>248</v>
      </c>
      <c r="H31" s="189"/>
      <c r="I31" s="189"/>
      <c r="J31" s="162">
        <f t="shared" si="0"/>
        <v>1.5468356153474018E-3</v>
      </c>
    </row>
    <row r="32" spans="1:15" outlineLevel="1" x14ac:dyDescent="0.45">
      <c r="A32" s="194" t="s">
        <v>259</v>
      </c>
      <c r="B32" s="195" t="s">
        <v>214</v>
      </c>
      <c r="C32" s="195">
        <v>40</v>
      </c>
      <c r="D32" s="186">
        <v>21900</v>
      </c>
      <c r="E32" s="186">
        <f t="shared" si="2"/>
        <v>876000</v>
      </c>
      <c r="F32" s="196"/>
      <c r="G32" s="196" t="s">
        <v>248</v>
      </c>
      <c r="H32" s="189"/>
      <c r="I32" s="189"/>
      <c r="J32" s="162">
        <f t="shared" si="0"/>
        <v>2.1910065470843624E-4</v>
      </c>
    </row>
    <row r="33" spans="1:14" outlineLevel="1" x14ac:dyDescent="0.45">
      <c r="A33" s="194" t="s">
        <v>260</v>
      </c>
      <c r="B33" s="195" t="s">
        <v>236</v>
      </c>
      <c r="C33" s="195">
        <v>1</v>
      </c>
      <c r="D33" s="186">
        <v>3000000</v>
      </c>
      <c r="E33" s="186">
        <f t="shared" si="2"/>
        <v>3000000</v>
      </c>
      <c r="F33" s="196"/>
      <c r="G33" s="196" t="s">
        <v>248</v>
      </c>
      <c r="H33" s="189"/>
      <c r="I33" s="189"/>
      <c r="J33" s="162">
        <f t="shared" si="0"/>
        <v>7.5034470790560361E-4</v>
      </c>
    </row>
    <row r="34" spans="1:14" outlineLevel="1" x14ac:dyDescent="0.45">
      <c r="A34" s="194" t="s">
        <v>261</v>
      </c>
      <c r="B34" s="195" t="s">
        <v>247</v>
      </c>
      <c r="C34" s="195">
        <f>170*1.3*1.2</f>
        <v>265.2</v>
      </c>
      <c r="D34" s="186">
        <f>228400/6</f>
        <v>38066.666666666664</v>
      </c>
      <c r="E34" s="186">
        <f t="shared" si="2"/>
        <v>10095279.999999998</v>
      </c>
      <c r="F34" s="196"/>
      <c r="G34" s="196" t="s">
        <v>248</v>
      </c>
      <c r="H34" s="189"/>
      <c r="I34" s="189"/>
      <c r="J34" s="162">
        <f t="shared" si="0"/>
        <v>2.5249799742750934E-3</v>
      </c>
    </row>
    <row r="35" spans="1:14" outlineLevel="1" x14ac:dyDescent="0.45">
      <c r="A35" s="194" t="s">
        <v>262</v>
      </c>
      <c r="B35" s="195" t="s">
        <v>247</v>
      </c>
      <c r="C35" s="195">
        <f>157*1.3*1.2</f>
        <v>244.92</v>
      </c>
      <c r="D35" s="186">
        <f>104950/6</f>
        <v>17491.666666666668</v>
      </c>
      <c r="E35" s="186">
        <f t="shared" si="2"/>
        <v>4284059</v>
      </c>
      <c r="F35" s="196"/>
      <c r="G35" s="196" t="s">
        <v>248</v>
      </c>
      <c r="H35" s="189"/>
      <c r="I35" s="189"/>
      <c r="J35" s="162">
        <f t="shared" si="0"/>
        <v>1.0715069996684575E-3</v>
      </c>
    </row>
    <row r="36" spans="1:14" outlineLevel="1" x14ac:dyDescent="0.45">
      <c r="A36" s="194" t="s">
        <v>263</v>
      </c>
      <c r="B36" s="195" t="s">
        <v>247</v>
      </c>
      <c r="C36" s="195">
        <f>90*1.5*1.2</f>
        <v>162</v>
      </c>
      <c r="D36" s="186">
        <f>46650/6</f>
        <v>7775</v>
      </c>
      <c r="E36" s="186">
        <f t="shared" si="2"/>
        <v>1259550</v>
      </c>
      <c r="F36" s="196"/>
      <c r="G36" s="196" t="s">
        <v>248</v>
      </c>
      <c r="H36" s="189"/>
      <c r="I36" s="189"/>
      <c r="J36" s="162">
        <f t="shared" si="0"/>
        <v>3.1503222561416768E-4</v>
      </c>
    </row>
    <row r="37" spans="1:14" outlineLevel="1" x14ac:dyDescent="0.45">
      <c r="A37" s="194" t="s">
        <v>264</v>
      </c>
      <c r="B37" s="195" t="s">
        <v>236</v>
      </c>
      <c r="C37" s="195">
        <v>1</v>
      </c>
      <c r="D37" s="186">
        <f>+SUM(E34:E36)*0.2</f>
        <v>3127777.8</v>
      </c>
      <c r="E37" s="186">
        <f t="shared" si="2"/>
        <v>3127777.8</v>
      </c>
      <c r="F37" s="196"/>
      <c r="G37" s="196" t="s">
        <v>248</v>
      </c>
      <c r="H37" s="189"/>
      <c r="I37" s="189"/>
      <c r="J37" s="162">
        <f t="shared" si="0"/>
        <v>7.8230383991154378E-4</v>
      </c>
    </row>
    <row r="38" spans="1:14" outlineLevel="1" x14ac:dyDescent="0.45">
      <c r="A38" s="194" t="s">
        <v>265</v>
      </c>
      <c r="B38" s="195" t="s">
        <v>214</v>
      </c>
      <c r="C38" s="195">
        <f>10+2</f>
        <v>12</v>
      </c>
      <c r="D38" s="186">
        <v>2500000</v>
      </c>
      <c r="E38" s="186">
        <f t="shared" si="2"/>
        <v>30000000</v>
      </c>
      <c r="F38" s="196" t="s">
        <v>266</v>
      </c>
      <c r="G38" s="196" t="s">
        <v>248</v>
      </c>
      <c r="H38" s="189"/>
      <c r="I38" s="189"/>
      <c r="J38" s="162">
        <f t="shared" si="0"/>
        <v>7.5034470790560359E-3</v>
      </c>
    </row>
    <row r="39" spans="1:14" outlineLevel="1" x14ac:dyDescent="0.45">
      <c r="A39" s="194" t="s">
        <v>267</v>
      </c>
      <c r="B39" s="195" t="s">
        <v>236</v>
      </c>
      <c r="C39" s="195">
        <v>1</v>
      </c>
      <c r="D39" s="186">
        <v>1750000</v>
      </c>
      <c r="E39" s="186">
        <f t="shared" si="2"/>
        <v>1750000</v>
      </c>
      <c r="F39" s="196"/>
      <c r="G39" s="196" t="s">
        <v>248</v>
      </c>
      <c r="H39" s="189"/>
      <c r="I39" s="189"/>
      <c r="J39" s="162">
        <f t="shared" si="0"/>
        <v>4.3770107961160206E-4</v>
      </c>
    </row>
    <row r="40" spans="1:14" outlineLevel="1" x14ac:dyDescent="0.45">
      <c r="A40" s="194" t="s">
        <v>268</v>
      </c>
      <c r="B40" s="195" t="s">
        <v>236</v>
      </c>
      <c r="C40" s="195">
        <v>1</v>
      </c>
      <c r="D40" s="186">
        <v>8000000</v>
      </c>
      <c r="E40" s="186">
        <f t="shared" si="2"/>
        <v>8000000</v>
      </c>
      <c r="F40" s="196"/>
      <c r="G40" s="196" t="s">
        <v>269</v>
      </c>
      <c r="H40" s="189"/>
      <c r="I40" s="189"/>
      <c r="J40" s="162">
        <f t="shared" si="0"/>
        <v>2.0009192210816095E-3</v>
      </c>
    </row>
    <row r="41" spans="1:14" outlineLevel="1" x14ac:dyDescent="0.45">
      <c r="A41" s="194" t="s">
        <v>270</v>
      </c>
      <c r="B41" s="195" t="s">
        <v>236</v>
      </c>
      <c r="C41" s="195">
        <v>1</v>
      </c>
      <c r="D41" s="186">
        <v>5000000</v>
      </c>
      <c r="E41" s="186">
        <f t="shared" si="2"/>
        <v>5000000</v>
      </c>
      <c r="F41" s="196"/>
      <c r="G41" s="196" t="s">
        <v>271</v>
      </c>
      <c r="H41" s="189"/>
      <c r="I41" s="189"/>
      <c r="J41" s="162">
        <f t="shared" si="0"/>
        <v>1.250574513176006E-3</v>
      </c>
    </row>
    <row r="42" spans="1:14" outlineLevel="1" x14ac:dyDescent="0.45">
      <c r="A42" s="194"/>
      <c r="B42" s="195"/>
      <c r="C42" s="195"/>
      <c r="D42" s="186"/>
      <c r="E42" s="186"/>
      <c r="F42" s="196"/>
      <c r="G42" s="196"/>
      <c r="H42" s="189"/>
      <c r="I42" s="189"/>
      <c r="J42" s="162">
        <f t="shared" si="0"/>
        <v>0</v>
      </c>
    </row>
    <row r="43" spans="1:14" outlineLevel="1" x14ac:dyDescent="0.45">
      <c r="A43" s="194"/>
      <c r="B43" s="195"/>
      <c r="C43" s="195"/>
      <c r="D43" s="186"/>
      <c r="E43" s="186"/>
      <c r="F43" s="196"/>
      <c r="G43" s="196"/>
      <c r="H43" s="189"/>
      <c r="I43" s="189"/>
      <c r="J43" s="162">
        <f t="shared" si="0"/>
        <v>0</v>
      </c>
    </row>
    <row r="44" spans="1:14" outlineLevel="1" x14ac:dyDescent="0.45">
      <c r="A44" s="194"/>
      <c r="B44" s="195"/>
      <c r="C44" s="195"/>
      <c r="D44" s="186"/>
      <c r="E44" s="186">
        <f t="shared" si="2"/>
        <v>0</v>
      </c>
      <c r="F44" s="196"/>
      <c r="G44" s="196"/>
      <c r="H44" s="189"/>
      <c r="I44" s="189"/>
      <c r="J44" s="162">
        <f t="shared" si="0"/>
        <v>0</v>
      </c>
    </row>
    <row r="45" spans="1:14" ht="18.899999999999999" thickBot="1" x14ac:dyDescent="0.55000000000000004">
      <c r="A45" s="386" t="s">
        <v>272</v>
      </c>
      <c r="B45" s="387"/>
      <c r="C45" s="387"/>
      <c r="D45" s="387"/>
      <c r="E45" s="200">
        <f>+SUM(E15:E44)</f>
        <v>2806375310.8000002</v>
      </c>
      <c r="F45" s="201"/>
      <c r="G45" s="201"/>
      <c r="H45" s="189"/>
      <c r="I45" s="189"/>
      <c r="J45" s="183">
        <f t="shared" si="0"/>
        <v>0.7019162876185745</v>
      </c>
      <c r="N45" s="197"/>
    </row>
    <row r="46" spans="1:14" ht="18.45" outlineLevel="1" x14ac:dyDescent="0.5">
      <c r="A46" s="163" t="s">
        <v>273</v>
      </c>
      <c r="B46" s="164" t="s">
        <v>214</v>
      </c>
      <c r="C46" s="164">
        <v>1</v>
      </c>
      <c r="D46" s="165">
        <v>204731648</v>
      </c>
      <c r="E46" s="165">
        <f>+D46*C46</f>
        <v>204731648</v>
      </c>
      <c r="F46" s="167"/>
      <c r="G46" s="167" t="s">
        <v>274</v>
      </c>
      <c r="H46" s="168"/>
      <c r="I46" s="168"/>
      <c r="J46" s="183">
        <f t="shared" si="0"/>
        <v>5.1206436205864285E-2</v>
      </c>
    </row>
    <row r="47" spans="1:14" ht="18.45" outlineLevel="1" x14ac:dyDescent="0.5">
      <c r="A47" s="173" t="s">
        <v>275</v>
      </c>
      <c r="B47" s="174" t="s">
        <v>214</v>
      </c>
      <c r="C47" s="174">
        <v>1</v>
      </c>
      <c r="D47" s="171">
        <v>2500000</v>
      </c>
      <c r="E47" s="171">
        <f t="shared" ref="E47:E51" si="3">+D47*C47</f>
        <v>2500000</v>
      </c>
      <c r="F47" s="172"/>
      <c r="G47" s="172" t="s">
        <v>274</v>
      </c>
      <c r="H47" s="168"/>
      <c r="I47" s="168"/>
      <c r="J47" s="183">
        <f t="shared" si="0"/>
        <v>6.2528725658800299E-4</v>
      </c>
    </row>
    <row r="48" spans="1:14" ht="18.45" outlineLevel="1" x14ac:dyDescent="0.5">
      <c r="A48" s="173" t="s">
        <v>276</v>
      </c>
      <c r="B48" s="174" t="s">
        <v>236</v>
      </c>
      <c r="C48" s="174">
        <v>1</v>
      </c>
      <c r="D48" s="171">
        <v>13000000</v>
      </c>
      <c r="E48" s="171">
        <f t="shared" si="3"/>
        <v>13000000</v>
      </c>
      <c r="F48" s="172"/>
      <c r="G48" s="172" t="s">
        <v>277</v>
      </c>
      <c r="H48" s="168"/>
      <c r="I48" s="168"/>
      <c r="J48" s="183">
        <f t="shared" si="0"/>
        <v>3.2514937342576155E-3</v>
      </c>
    </row>
    <row r="49" spans="1:10" ht="18.45" outlineLevel="1" x14ac:dyDescent="0.5">
      <c r="A49" s="173" t="s">
        <v>278</v>
      </c>
      <c r="B49" s="174" t="s">
        <v>214</v>
      </c>
      <c r="C49" s="174">
        <v>1</v>
      </c>
      <c r="D49" s="171">
        <v>5000000</v>
      </c>
      <c r="E49" s="171">
        <f t="shared" si="3"/>
        <v>5000000</v>
      </c>
      <c r="F49" s="172"/>
      <c r="G49" s="172" t="s">
        <v>274</v>
      </c>
      <c r="H49" s="168"/>
      <c r="I49" s="168"/>
      <c r="J49" s="183">
        <f t="shared" si="0"/>
        <v>1.250574513176006E-3</v>
      </c>
    </row>
    <row r="50" spans="1:10" ht="18.45" outlineLevel="1" x14ac:dyDescent="0.5">
      <c r="A50" s="169" t="s">
        <v>279</v>
      </c>
      <c r="B50" s="170" t="s">
        <v>214</v>
      </c>
      <c r="C50" s="170">
        <v>2</v>
      </c>
      <c r="D50" s="171">
        <v>6000000</v>
      </c>
      <c r="E50" s="171">
        <f t="shared" si="3"/>
        <v>12000000</v>
      </c>
      <c r="F50" s="172"/>
      <c r="G50" s="172" t="s">
        <v>274</v>
      </c>
      <c r="H50" s="168"/>
      <c r="I50" s="168"/>
      <c r="J50" s="183">
        <f t="shared" si="0"/>
        <v>3.0013788316224145E-3</v>
      </c>
    </row>
    <row r="51" spans="1:10" ht="18.45" outlineLevel="1" x14ac:dyDescent="0.5">
      <c r="A51" s="173"/>
      <c r="B51" s="174"/>
      <c r="C51" s="174"/>
      <c r="D51" s="166"/>
      <c r="E51" s="166">
        <f t="shared" si="3"/>
        <v>0</v>
      </c>
      <c r="F51" s="175"/>
      <c r="G51" s="175"/>
      <c r="H51" s="168"/>
      <c r="I51" s="168"/>
      <c r="J51" s="183">
        <f t="shared" si="0"/>
        <v>0</v>
      </c>
    </row>
    <row r="52" spans="1:10" ht="18.899999999999999" thickBot="1" x14ac:dyDescent="0.55000000000000004">
      <c r="A52" s="384" t="s">
        <v>280</v>
      </c>
      <c r="B52" s="385"/>
      <c r="C52" s="385"/>
      <c r="D52" s="385"/>
      <c r="E52" s="180">
        <f>+SUM(E46:E51)</f>
        <v>237231648</v>
      </c>
      <c r="F52" s="202"/>
      <c r="G52" s="202"/>
      <c r="H52" s="168"/>
      <c r="I52" s="168"/>
      <c r="J52" s="183">
        <f t="shared" si="0"/>
        <v>5.9335170541508324E-2</v>
      </c>
    </row>
    <row r="53" spans="1:10" ht="18.45" outlineLevel="1" x14ac:dyDescent="0.5">
      <c r="A53" s="203" t="s">
        <v>281</v>
      </c>
      <c r="B53" s="204" t="s">
        <v>282</v>
      </c>
      <c r="C53" s="205">
        <v>24000</v>
      </c>
      <c r="D53" s="206">
        <v>1800</v>
      </c>
      <c r="E53" s="207">
        <f>+C53*D53</f>
        <v>43200000</v>
      </c>
      <c r="F53" s="208"/>
      <c r="G53" s="193" t="s">
        <v>283</v>
      </c>
      <c r="H53" s="189"/>
      <c r="I53" s="189"/>
      <c r="J53" s="183">
        <f t="shared" si="0"/>
        <v>1.0804963793840692E-2</v>
      </c>
    </row>
    <row r="54" spans="1:10" ht="18.45" outlineLevel="1" x14ac:dyDescent="0.5">
      <c r="A54" s="209" t="s">
        <v>284</v>
      </c>
      <c r="B54" s="210" t="s">
        <v>285</v>
      </c>
      <c r="C54" s="211">
        <v>2400</v>
      </c>
      <c r="D54" s="212">
        <v>17000</v>
      </c>
      <c r="E54" s="213">
        <f t="shared" ref="E54:E72" si="4">+C54*D54</f>
        <v>40800000</v>
      </c>
      <c r="F54" s="214"/>
      <c r="G54" s="196" t="s">
        <v>283</v>
      </c>
      <c r="H54" s="189"/>
      <c r="I54" s="189"/>
      <c r="J54" s="183">
        <f t="shared" si="0"/>
        <v>1.0204688027516208E-2</v>
      </c>
    </row>
    <row r="55" spans="1:10" s="222" customFormat="1" ht="30" customHeight="1" outlineLevel="1" x14ac:dyDescent="0.5">
      <c r="A55" s="215" t="s">
        <v>286</v>
      </c>
      <c r="B55" s="216" t="s">
        <v>285</v>
      </c>
      <c r="C55" s="217">
        <v>0</v>
      </c>
      <c r="D55" s="212">
        <v>0</v>
      </c>
      <c r="E55" s="218">
        <f t="shared" si="4"/>
        <v>0</v>
      </c>
      <c r="F55" s="219"/>
      <c r="G55" s="220" t="s">
        <v>283</v>
      </c>
      <c r="H55" s="221"/>
      <c r="I55" s="221"/>
      <c r="J55" s="183">
        <f t="shared" si="0"/>
        <v>0</v>
      </c>
    </row>
    <row r="56" spans="1:10" s="222" customFormat="1" ht="30" customHeight="1" outlineLevel="1" x14ac:dyDescent="0.5">
      <c r="A56" s="215" t="s">
        <v>287</v>
      </c>
      <c r="B56" s="216" t="s">
        <v>285</v>
      </c>
      <c r="C56" s="217">
        <v>600</v>
      </c>
      <c r="D56" s="212">
        <v>23000</v>
      </c>
      <c r="E56" s="218">
        <f t="shared" si="4"/>
        <v>13800000</v>
      </c>
      <c r="F56" s="219"/>
      <c r="G56" s="220" t="s">
        <v>283</v>
      </c>
      <c r="H56" s="221"/>
      <c r="I56" s="221"/>
      <c r="J56" s="183">
        <f t="shared" si="0"/>
        <v>3.4515856563657765E-3</v>
      </c>
    </row>
    <row r="57" spans="1:10" s="222" customFormat="1" ht="32.15" outlineLevel="1" x14ac:dyDescent="0.5">
      <c r="A57" s="215" t="s">
        <v>288</v>
      </c>
      <c r="B57" s="216" t="s">
        <v>247</v>
      </c>
      <c r="C57" s="217">
        <v>300</v>
      </c>
      <c r="D57" s="212">
        <v>22500</v>
      </c>
      <c r="E57" s="218">
        <f t="shared" si="4"/>
        <v>6750000</v>
      </c>
      <c r="F57" s="219"/>
      <c r="G57" s="220" t="s">
        <v>283</v>
      </c>
      <c r="H57" s="221"/>
      <c r="I57" s="221"/>
      <c r="J57" s="183">
        <f t="shared" si="0"/>
        <v>1.688275592787608E-3</v>
      </c>
    </row>
    <row r="58" spans="1:10" s="222" customFormat="1" ht="18.45" outlineLevel="1" x14ac:dyDescent="0.5">
      <c r="A58" s="215" t="s">
        <v>289</v>
      </c>
      <c r="B58" s="216" t="s">
        <v>285</v>
      </c>
      <c r="C58" s="217">
        <f>C57*3.5*0.2*1.3</f>
        <v>273</v>
      </c>
      <c r="D58" s="212">
        <v>95000</v>
      </c>
      <c r="E58" s="218">
        <f t="shared" si="4"/>
        <v>25935000</v>
      </c>
      <c r="F58" s="219" t="s">
        <v>290</v>
      </c>
      <c r="G58" s="220" t="s">
        <v>283</v>
      </c>
      <c r="H58" s="221"/>
      <c r="I58" s="221"/>
      <c r="J58" s="183">
        <f t="shared" si="0"/>
        <v>6.486729999843943E-3</v>
      </c>
    </row>
    <row r="59" spans="1:10" s="222" customFormat="1" ht="18.45" outlineLevel="1" x14ac:dyDescent="0.5">
      <c r="A59" s="215" t="s">
        <v>291</v>
      </c>
      <c r="B59" s="216" t="s">
        <v>285</v>
      </c>
      <c r="C59" s="217">
        <f>C57*3.5*0.05*1.5</f>
        <v>78.75</v>
      </c>
      <c r="D59" s="212">
        <v>98000</v>
      </c>
      <c r="E59" s="218">
        <f t="shared" si="4"/>
        <v>7717500</v>
      </c>
      <c r="F59" s="219" t="s">
        <v>290</v>
      </c>
      <c r="G59" s="220" t="s">
        <v>283</v>
      </c>
      <c r="H59" s="221"/>
      <c r="I59" s="221"/>
      <c r="J59" s="183">
        <f t="shared" si="0"/>
        <v>1.9302617610871653E-3</v>
      </c>
    </row>
    <row r="60" spans="1:10" ht="18.45" outlineLevel="1" x14ac:dyDescent="0.5">
      <c r="A60" s="215" t="s">
        <v>292</v>
      </c>
      <c r="B60" s="216" t="s">
        <v>247</v>
      </c>
      <c r="C60" s="217">
        <v>220</v>
      </c>
      <c r="D60" s="212">
        <v>40000</v>
      </c>
      <c r="E60" s="213">
        <f t="shared" si="4"/>
        <v>8800000</v>
      </c>
      <c r="F60" s="214" t="s">
        <v>293</v>
      </c>
      <c r="G60" s="196" t="s">
        <v>283</v>
      </c>
      <c r="H60" s="189"/>
      <c r="I60" s="189"/>
      <c r="J60" s="183">
        <f t="shared" si="0"/>
        <v>2.2010111431897705E-3</v>
      </c>
    </row>
    <row r="61" spans="1:10" ht="18.45" outlineLevel="1" x14ac:dyDescent="0.5">
      <c r="A61" s="215" t="s">
        <v>294</v>
      </c>
      <c r="B61" s="216" t="s">
        <v>247</v>
      </c>
      <c r="C61" s="217">
        <v>40</v>
      </c>
      <c r="D61" s="212">
        <v>92000</v>
      </c>
      <c r="E61" s="213">
        <f t="shared" si="4"/>
        <v>3680000</v>
      </c>
      <c r="F61" s="214"/>
      <c r="G61" s="196" t="s">
        <v>283</v>
      </c>
      <c r="H61" s="189"/>
      <c r="I61" s="189"/>
      <c r="J61" s="183">
        <f t="shared" si="0"/>
        <v>9.2042284169754039E-4</v>
      </c>
    </row>
    <row r="62" spans="1:10" ht="18.45" outlineLevel="1" x14ac:dyDescent="0.5">
      <c r="A62" s="215" t="s">
        <v>295</v>
      </c>
      <c r="B62" s="216" t="s">
        <v>247</v>
      </c>
      <c r="C62" s="217">
        <v>670</v>
      </c>
      <c r="D62" s="212">
        <v>135000</v>
      </c>
      <c r="E62" s="213">
        <f t="shared" si="4"/>
        <v>90450000</v>
      </c>
      <c r="F62" s="214"/>
      <c r="G62" s="196" t="s">
        <v>283</v>
      </c>
      <c r="H62" s="189"/>
      <c r="I62" s="189"/>
      <c r="J62" s="183">
        <f t="shared" si="0"/>
        <v>2.2622892943353949E-2</v>
      </c>
    </row>
    <row r="63" spans="1:10" ht="18.45" outlineLevel="1" x14ac:dyDescent="0.5">
      <c r="A63" s="215" t="s">
        <v>296</v>
      </c>
      <c r="B63" s="216" t="s">
        <v>214</v>
      </c>
      <c r="C63" s="217">
        <v>1</v>
      </c>
      <c r="D63" s="212">
        <v>3600000</v>
      </c>
      <c r="E63" s="213">
        <f t="shared" si="4"/>
        <v>3600000</v>
      </c>
      <c r="F63" s="214"/>
      <c r="G63" s="196" t="s">
        <v>283</v>
      </c>
      <c r="H63" s="189"/>
      <c r="I63" s="189"/>
      <c r="J63" s="183">
        <f t="shared" si="0"/>
        <v>9.0041364948672425E-4</v>
      </c>
    </row>
    <row r="64" spans="1:10" ht="18.45" outlineLevel="1" x14ac:dyDescent="0.5">
      <c r="A64" s="215" t="s">
        <v>297</v>
      </c>
      <c r="B64" s="216" t="s">
        <v>214</v>
      </c>
      <c r="C64" s="217">
        <v>1</v>
      </c>
      <c r="D64" s="212">
        <v>2200000</v>
      </c>
      <c r="E64" s="213">
        <f t="shared" si="4"/>
        <v>2200000</v>
      </c>
      <c r="F64" s="214"/>
      <c r="G64" s="196" t="s">
        <v>283</v>
      </c>
      <c r="H64" s="189"/>
      <c r="I64" s="189"/>
      <c r="J64" s="183">
        <f t="shared" si="0"/>
        <v>5.5025278579744262E-4</v>
      </c>
    </row>
    <row r="65" spans="1:11" ht="18.45" outlineLevel="1" x14ac:dyDescent="0.5">
      <c r="A65" s="215" t="s">
        <v>298</v>
      </c>
      <c r="B65" s="216" t="s">
        <v>236</v>
      </c>
      <c r="C65" s="217">
        <v>1</v>
      </c>
      <c r="D65" s="212">
        <v>40000000</v>
      </c>
      <c r="E65" s="213">
        <f t="shared" si="4"/>
        <v>40000000</v>
      </c>
      <c r="F65" s="214" t="s">
        <v>299</v>
      </c>
      <c r="G65" s="196" t="s">
        <v>283</v>
      </c>
      <c r="H65" s="189"/>
      <c r="I65" s="189"/>
      <c r="J65" s="183">
        <f t="shared" si="0"/>
        <v>1.0004596105408048E-2</v>
      </c>
    </row>
    <row r="66" spans="1:11" ht="32.15" outlineLevel="1" x14ac:dyDescent="0.5">
      <c r="A66" s="215" t="s">
        <v>300</v>
      </c>
      <c r="B66" s="216" t="s">
        <v>285</v>
      </c>
      <c r="C66" s="217">
        <f>80*1.2</f>
        <v>96</v>
      </c>
      <c r="D66" s="212">
        <v>35000</v>
      </c>
      <c r="E66" s="213">
        <f t="shared" si="4"/>
        <v>3360000</v>
      </c>
      <c r="F66" s="214"/>
      <c r="G66" s="196" t="s">
        <v>283</v>
      </c>
      <c r="H66" s="189"/>
      <c r="I66" s="189"/>
      <c r="J66" s="183">
        <f t="shared" ref="J66:J68" si="5">+E66/$E$88</f>
        <v>8.4038607285427604E-4</v>
      </c>
    </row>
    <row r="67" spans="1:11" ht="32.15" outlineLevel="1" x14ac:dyDescent="0.5">
      <c r="A67" s="215" t="s">
        <v>301</v>
      </c>
      <c r="B67" s="216" t="s">
        <v>285</v>
      </c>
      <c r="C67" s="217">
        <f>30*1.2</f>
        <v>36</v>
      </c>
      <c r="D67" s="212">
        <v>35000</v>
      </c>
      <c r="E67" s="213">
        <f t="shared" si="4"/>
        <v>1260000</v>
      </c>
      <c r="F67" s="214"/>
      <c r="G67" s="196" t="s">
        <v>283</v>
      </c>
      <c r="H67" s="189"/>
      <c r="I67" s="189"/>
      <c r="J67" s="183">
        <f t="shared" si="5"/>
        <v>3.1514477732035349E-4</v>
      </c>
    </row>
    <row r="68" spans="1:11" ht="32.15" outlineLevel="1" x14ac:dyDescent="0.5">
      <c r="A68" s="215" t="s">
        <v>302</v>
      </c>
      <c r="B68" s="216" t="s">
        <v>285</v>
      </c>
      <c r="C68" s="217">
        <v>10</v>
      </c>
      <c r="D68" s="212">
        <v>35000</v>
      </c>
      <c r="E68" s="213">
        <f t="shared" si="4"/>
        <v>350000</v>
      </c>
      <c r="F68" s="214"/>
      <c r="G68" s="196" t="s">
        <v>283</v>
      </c>
      <c r="H68" s="189"/>
      <c r="I68" s="189"/>
      <c r="J68" s="183">
        <f t="shared" si="5"/>
        <v>8.7540215922320421E-5</v>
      </c>
    </row>
    <row r="69" spans="1:11" ht="18.45" outlineLevel="1" x14ac:dyDescent="0.5">
      <c r="A69" s="215"/>
      <c r="B69" s="216"/>
      <c r="C69" s="217"/>
      <c r="D69" s="212"/>
      <c r="E69" s="213"/>
      <c r="F69" s="214"/>
      <c r="G69" s="196"/>
      <c r="H69" s="189"/>
      <c r="I69" s="189"/>
      <c r="J69" s="183"/>
    </row>
    <row r="70" spans="1:11" ht="18.45" outlineLevel="1" x14ac:dyDescent="0.5">
      <c r="A70" s="215" t="s">
        <v>303</v>
      </c>
      <c r="B70" s="216" t="s">
        <v>214</v>
      </c>
      <c r="C70" s="217">
        <v>109</v>
      </c>
      <c r="D70" s="212">
        <v>414000</v>
      </c>
      <c r="E70" s="213">
        <f t="shared" si="4"/>
        <v>45126000</v>
      </c>
      <c r="F70" s="214"/>
      <c r="G70" s="196" t="s">
        <v>283</v>
      </c>
      <c r="H70" s="189"/>
      <c r="I70" s="189"/>
      <c r="J70" s="183"/>
    </row>
    <row r="71" spans="1:11" ht="18.45" outlineLevel="1" x14ac:dyDescent="0.5">
      <c r="A71" s="215" t="s">
        <v>304</v>
      </c>
      <c r="B71" s="216" t="s">
        <v>214</v>
      </c>
      <c r="C71" s="217">
        <v>1</v>
      </c>
      <c r="D71" s="212">
        <v>37000000</v>
      </c>
      <c r="E71" s="213">
        <f t="shared" si="4"/>
        <v>37000000</v>
      </c>
      <c r="F71" s="214"/>
      <c r="G71" s="196" t="s">
        <v>283</v>
      </c>
      <c r="H71" s="189"/>
      <c r="I71" s="189"/>
      <c r="J71" s="183"/>
    </row>
    <row r="72" spans="1:11" ht="18.45" outlineLevel="1" x14ac:dyDescent="0.5">
      <c r="A72" s="215"/>
      <c r="B72" s="216"/>
      <c r="C72" s="217"/>
      <c r="D72" s="223"/>
      <c r="E72" s="213">
        <f t="shared" si="4"/>
        <v>0</v>
      </c>
      <c r="F72" s="214"/>
      <c r="G72" s="196"/>
      <c r="H72" s="189"/>
      <c r="I72" s="189"/>
      <c r="J72" s="183">
        <f t="shared" ref="J72:J86" si="6">+E72/$E$88</f>
        <v>0</v>
      </c>
    </row>
    <row r="73" spans="1:11" ht="18.899999999999999" thickBot="1" x14ac:dyDescent="0.55000000000000004">
      <c r="A73" s="384" t="s">
        <v>305</v>
      </c>
      <c r="B73" s="385"/>
      <c r="C73" s="385"/>
      <c r="D73" s="385"/>
      <c r="E73" s="180">
        <f>+SUM(E53:E72)</f>
        <v>374028500</v>
      </c>
      <c r="F73" s="202"/>
      <c r="G73" s="202"/>
      <c r="H73" s="168"/>
      <c r="I73" s="168"/>
      <c r="J73" s="183">
        <f t="shared" si="6"/>
        <v>9.3550101860290349E-2</v>
      </c>
      <c r="K73" s="198"/>
    </row>
    <row r="74" spans="1:11" ht="18.45" outlineLevel="1" x14ac:dyDescent="0.5">
      <c r="A74" s="169" t="s">
        <v>306</v>
      </c>
      <c r="B74" s="170" t="s">
        <v>223</v>
      </c>
      <c r="C74" s="170">
        <v>2.5</v>
      </c>
      <c r="D74" s="171">
        <f>5000000*1.55</f>
        <v>7750000</v>
      </c>
      <c r="E74" s="171">
        <f>+D74*C74</f>
        <v>19375000</v>
      </c>
      <c r="F74" s="172"/>
      <c r="G74" s="172" t="s">
        <v>215</v>
      </c>
      <c r="H74" s="168"/>
      <c r="I74" s="168"/>
      <c r="J74" s="183">
        <f t="shared" si="6"/>
        <v>4.8459762385570232E-3</v>
      </c>
    </row>
    <row r="75" spans="1:11" ht="18.45" outlineLevel="1" x14ac:dyDescent="0.5">
      <c r="A75" s="173" t="s">
        <v>307</v>
      </c>
      <c r="B75" s="174" t="s">
        <v>236</v>
      </c>
      <c r="C75" s="174">
        <v>4</v>
      </c>
      <c r="D75" s="166">
        <f>4000000*1.55</f>
        <v>6200000</v>
      </c>
      <c r="E75" s="166">
        <f t="shared" ref="E75:E85" si="7">+D75*C75</f>
        <v>24800000</v>
      </c>
      <c r="F75" s="175"/>
      <c r="G75" s="175" t="s">
        <v>215</v>
      </c>
      <c r="H75" s="168"/>
      <c r="I75" s="168"/>
      <c r="J75" s="183">
        <f t="shared" si="6"/>
        <v>6.202849585352989E-3</v>
      </c>
    </row>
    <row r="76" spans="1:11" ht="18.45" outlineLevel="1" x14ac:dyDescent="0.5">
      <c r="A76" s="173" t="s">
        <v>308</v>
      </c>
      <c r="B76" s="174" t="s">
        <v>223</v>
      </c>
      <c r="C76" s="174">
        <v>4</v>
      </c>
      <c r="D76" s="166">
        <v>4500000</v>
      </c>
      <c r="E76" s="166">
        <f t="shared" si="7"/>
        <v>18000000</v>
      </c>
      <c r="F76" s="175"/>
      <c r="G76" s="175" t="s">
        <v>224</v>
      </c>
      <c r="H76" s="168"/>
      <c r="I76" s="168"/>
      <c r="J76" s="183">
        <f t="shared" si="6"/>
        <v>4.502068247433621E-3</v>
      </c>
    </row>
    <row r="77" spans="1:11" ht="18.45" outlineLevel="1" x14ac:dyDescent="0.5">
      <c r="A77" s="173" t="s">
        <v>309</v>
      </c>
      <c r="B77" s="174" t="s">
        <v>236</v>
      </c>
      <c r="C77" s="174">
        <v>1</v>
      </c>
      <c r="D77" s="166">
        <v>27873471.808000002</v>
      </c>
      <c r="E77" s="166">
        <f>+D77*C77</f>
        <v>27873471.808000002</v>
      </c>
      <c r="F77" s="175"/>
      <c r="G77" s="175"/>
      <c r="H77" s="168"/>
      <c r="I77" s="168"/>
      <c r="J77" s="183">
        <f t="shared" si="6"/>
        <v>6.9715706873629459E-3</v>
      </c>
    </row>
    <row r="78" spans="1:11" ht="18.45" outlineLevel="1" x14ac:dyDescent="0.5">
      <c r="A78" s="173" t="s">
        <v>310</v>
      </c>
      <c r="B78" s="174" t="s">
        <v>236</v>
      </c>
      <c r="C78" s="174">
        <v>1</v>
      </c>
      <c r="D78" s="166">
        <v>27873471.808000002</v>
      </c>
      <c r="E78" s="166">
        <f t="shared" si="7"/>
        <v>27873471.808000002</v>
      </c>
      <c r="F78" s="175"/>
      <c r="G78" s="175"/>
      <c r="H78" s="168"/>
      <c r="I78" s="168"/>
      <c r="J78" s="183">
        <f t="shared" si="6"/>
        <v>6.9715706873629459E-3</v>
      </c>
    </row>
    <row r="79" spans="1:11" ht="18.45" outlineLevel="1" x14ac:dyDescent="0.5">
      <c r="A79" s="173" t="s">
        <v>311</v>
      </c>
      <c r="B79" s="174" t="s">
        <v>236</v>
      </c>
      <c r="C79" s="174">
        <v>1</v>
      </c>
      <c r="D79" s="166">
        <v>10000000</v>
      </c>
      <c r="E79" s="166">
        <f t="shared" si="7"/>
        <v>10000000</v>
      </c>
      <c r="F79" s="175"/>
      <c r="G79" s="175" t="s">
        <v>312</v>
      </c>
      <c r="H79" s="168"/>
      <c r="I79" s="168"/>
      <c r="J79" s="183">
        <f t="shared" si="6"/>
        <v>2.501149026352012E-3</v>
      </c>
    </row>
    <row r="80" spans="1:11" ht="18.45" outlineLevel="1" x14ac:dyDescent="0.5">
      <c r="A80" s="173" t="s">
        <v>313</v>
      </c>
      <c r="B80" s="174" t="s">
        <v>236</v>
      </c>
      <c r="C80" s="174">
        <v>1</v>
      </c>
      <c r="D80" s="166">
        <v>15000000</v>
      </c>
      <c r="E80" s="166">
        <f t="shared" si="7"/>
        <v>15000000</v>
      </c>
      <c r="F80" s="175"/>
      <c r="G80" s="175" t="s">
        <v>313</v>
      </c>
      <c r="H80" s="168"/>
      <c r="I80" s="168"/>
      <c r="J80" s="183">
        <f t="shared" si="6"/>
        <v>3.751723539528018E-3</v>
      </c>
    </row>
    <row r="81" spans="1:10" ht="18.45" outlineLevel="1" x14ac:dyDescent="0.5">
      <c r="A81" s="173" t="s">
        <v>224</v>
      </c>
      <c r="B81" s="174" t="s">
        <v>236</v>
      </c>
      <c r="C81" s="174">
        <v>3</v>
      </c>
      <c r="D81" s="166">
        <f>1500000*1.55*18*1.1</f>
        <v>46035000</v>
      </c>
      <c r="E81" s="166">
        <f t="shared" si="7"/>
        <v>138105000</v>
      </c>
      <c r="F81" s="175"/>
      <c r="G81" s="175" t="s">
        <v>224</v>
      </c>
      <c r="H81" s="168"/>
      <c r="I81" s="168"/>
      <c r="J81" s="183">
        <f t="shared" si="6"/>
        <v>3.4542118628434461E-2</v>
      </c>
    </row>
    <row r="82" spans="1:10" ht="18.45" outlineLevel="1" x14ac:dyDescent="0.5">
      <c r="A82" s="173" t="s">
        <v>314</v>
      </c>
      <c r="B82" s="174" t="s">
        <v>236</v>
      </c>
      <c r="C82" s="174">
        <v>1</v>
      </c>
      <c r="D82" s="166">
        <v>20000000</v>
      </c>
      <c r="E82" s="166">
        <f t="shared" si="7"/>
        <v>20000000</v>
      </c>
      <c r="F82" s="175"/>
      <c r="G82" s="175" t="s">
        <v>315</v>
      </c>
      <c r="H82" s="168"/>
      <c r="I82" s="168"/>
      <c r="J82" s="183">
        <f t="shared" si="6"/>
        <v>5.0022980527040239E-3</v>
      </c>
    </row>
    <row r="83" spans="1:10" ht="18.45" outlineLevel="1" x14ac:dyDescent="0.5">
      <c r="A83" s="173" t="s">
        <v>316</v>
      </c>
      <c r="B83" s="174" t="s">
        <v>236</v>
      </c>
      <c r="C83" s="174">
        <v>1</v>
      </c>
      <c r="D83" s="166">
        <v>35000000</v>
      </c>
      <c r="E83" s="166">
        <f t="shared" si="7"/>
        <v>35000000</v>
      </c>
      <c r="F83" s="175"/>
      <c r="G83" s="175" t="s">
        <v>317</v>
      </c>
      <c r="H83" s="168"/>
      <c r="I83" s="168"/>
      <c r="J83" s="183">
        <f t="shared" si="6"/>
        <v>8.7540215922320419E-3</v>
      </c>
    </row>
    <row r="84" spans="1:10" ht="18.45" outlineLevel="1" x14ac:dyDescent="0.5">
      <c r="A84" s="173" t="s">
        <v>318</v>
      </c>
      <c r="B84" s="174" t="s">
        <v>236</v>
      </c>
      <c r="C84" s="174">
        <v>1</v>
      </c>
      <c r="D84" s="166">
        <v>7000000</v>
      </c>
      <c r="E84" s="166">
        <f t="shared" si="7"/>
        <v>7000000</v>
      </c>
      <c r="F84" s="175"/>
      <c r="G84" s="175" t="s">
        <v>319</v>
      </c>
      <c r="H84" s="168"/>
      <c r="I84" s="168"/>
      <c r="J84" s="183">
        <f t="shared" si="6"/>
        <v>1.7508043184464083E-3</v>
      </c>
    </row>
    <row r="85" spans="1:10" ht="18.45" outlineLevel="1" x14ac:dyDescent="0.5">
      <c r="A85" s="176" t="s">
        <v>320</v>
      </c>
      <c r="B85" s="177" t="s">
        <v>223</v>
      </c>
      <c r="C85" s="177">
        <v>5</v>
      </c>
      <c r="D85" s="178">
        <v>16000000</v>
      </c>
      <c r="E85" s="178">
        <f t="shared" si="7"/>
        <v>80000000</v>
      </c>
      <c r="F85" s="179"/>
      <c r="G85" s="179" t="s">
        <v>319</v>
      </c>
      <c r="H85" s="168"/>
      <c r="I85" s="168"/>
      <c r="J85" s="183">
        <f t="shared" si="6"/>
        <v>2.0009192210816096E-2</v>
      </c>
    </row>
    <row r="86" spans="1:10" ht="18.45" outlineLevel="1" x14ac:dyDescent="0.5">
      <c r="A86" s="176"/>
      <c r="B86" s="177"/>
      <c r="C86" s="177"/>
      <c r="D86" s="178"/>
      <c r="E86" s="178"/>
      <c r="F86" s="179"/>
      <c r="G86" s="179"/>
      <c r="H86" s="168"/>
      <c r="I86" s="168"/>
      <c r="J86" s="183">
        <f t="shared" si="6"/>
        <v>0</v>
      </c>
    </row>
    <row r="87" spans="1:10" ht="18.899999999999999" thickBot="1" x14ac:dyDescent="0.55000000000000004">
      <c r="A87" s="384" t="s">
        <v>321</v>
      </c>
      <c r="B87" s="385"/>
      <c r="C87" s="385"/>
      <c r="D87" s="385"/>
      <c r="E87" s="180">
        <f>+SUM(E74:E85)</f>
        <v>423026943.616</v>
      </c>
      <c r="F87" s="202"/>
      <c r="G87" s="202"/>
      <c r="H87" s="168"/>
      <c r="I87" s="168"/>
      <c r="J87" s="183">
        <f>+E87/$E$88</f>
        <v>0.10580534281458258</v>
      </c>
    </row>
    <row r="88" spans="1:10" ht="16.3" collapsed="1" thickBot="1" x14ac:dyDescent="0.5">
      <c r="A88" s="384" t="s">
        <v>322</v>
      </c>
      <c r="B88" s="385"/>
      <c r="C88" s="385"/>
      <c r="D88" s="385"/>
      <c r="E88" s="180">
        <f>E87+E73+E52+E45+E14</f>
        <v>3998162402.4160004</v>
      </c>
      <c r="F88" s="202"/>
      <c r="G88" s="202"/>
      <c r="H88" s="168"/>
      <c r="I88" s="168"/>
    </row>
    <row r="89" spans="1:10" ht="18.45" x14ac:dyDescent="0.5">
      <c r="J89" s="183"/>
    </row>
    <row r="90" spans="1:10" x14ac:dyDescent="0.45">
      <c r="A90" s="157"/>
      <c r="B90" s="156"/>
      <c r="C90" s="224"/>
      <c r="G90" s="157"/>
    </row>
    <row r="91" spans="1:10" x14ac:dyDescent="0.45">
      <c r="A91" s="157"/>
      <c r="G91" s="225"/>
    </row>
    <row r="92" spans="1:10" x14ac:dyDescent="0.45">
      <c r="G92" s="2"/>
    </row>
    <row r="93" spans="1:10" x14ac:dyDescent="0.45">
      <c r="E93"/>
      <c r="I93" s="162"/>
      <c r="J93"/>
    </row>
    <row r="94" spans="1:10" x14ac:dyDescent="0.45">
      <c r="B94" s="157"/>
      <c r="C94" s="157"/>
      <c r="D94" s="226"/>
      <c r="E94"/>
      <c r="I94" s="162"/>
      <c r="J94"/>
    </row>
    <row r="95" spans="1:10" x14ac:dyDescent="0.45">
      <c r="B95" s="225"/>
      <c r="E95"/>
      <c r="F95" s="198"/>
      <c r="I95" s="162"/>
      <c r="J95"/>
    </row>
    <row r="96" spans="1:10" x14ac:dyDescent="0.45">
      <c r="B96" s="225"/>
      <c r="E96"/>
      <c r="F96" s="198"/>
      <c r="I96" s="162"/>
      <c r="J96"/>
    </row>
    <row r="97" spans="2:10" x14ac:dyDescent="0.45">
      <c r="B97" s="225"/>
      <c r="E97"/>
      <c r="F97" s="198"/>
      <c r="I97" s="162"/>
      <c r="J97"/>
    </row>
    <row r="98" spans="2:10" x14ac:dyDescent="0.45">
      <c r="B98" s="225"/>
      <c r="E98"/>
      <c r="F98" s="198"/>
      <c r="I98" s="162"/>
      <c r="J98"/>
    </row>
    <row r="100" spans="2:10" x14ac:dyDescent="0.45">
      <c r="B100" s="198"/>
    </row>
  </sheetData>
  <mergeCells count="6">
    <mergeCell ref="A88:D88"/>
    <mergeCell ref="A14:D14"/>
    <mergeCell ref="A45:D45"/>
    <mergeCell ref="A52:D52"/>
    <mergeCell ref="A73:D73"/>
    <mergeCell ref="A87:D87"/>
  </mergeCells>
  <conditionalFormatting sqref="H28">
    <cfRule type="cellIs" dxfId="0" priority="1" operator="lessThan">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069f00b-307c-4729-be4a-f70dbd2eb3be">
      <Terms xmlns="http://schemas.microsoft.com/office/infopath/2007/PartnerControls"/>
    </lcf76f155ced4ddcb4097134ff3c332f>
    <TaxCatchAll xmlns="33555f3a-3909-46c9-9748-1dc83b5cf19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F7C379A6C4B19B4E801A4E8CA9788424" ma:contentTypeVersion="12" ma:contentTypeDescription="Crear nuevo documento." ma:contentTypeScope="" ma:versionID="19bc32da49c46547114e3cde42970280">
  <xsd:schema xmlns:xsd="http://www.w3.org/2001/XMLSchema" xmlns:xs="http://www.w3.org/2001/XMLSchema" xmlns:p="http://schemas.microsoft.com/office/2006/metadata/properties" xmlns:ns2="9069f00b-307c-4729-be4a-f70dbd2eb3be" xmlns:ns3="33555f3a-3909-46c9-9748-1dc83b5cf197" targetNamespace="http://schemas.microsoft.com/office/2006/metadata/properties" ma:root="true" ma:fieldsID="8764e9d659000453cf6c436cf52a2831" ns2:_="" ns3:_="">
    <xsd:import namespace="9069f00b-307c-4729-be4a-f70dbd2eb3be"/>
    <xsd:import namespace="33555f3a-3909-46c9-9748-1dc83b5cf19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69f00b-307c-4729-be4a-f70dbd2eb3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1dd04d7-a9b7-45e3-b759-581493f69a4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3555f3a-3909-46c9-9748-1dc83b5cf19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60d2933c-7d26-4116-be96-fe0c97d8edfe}" ma:internalName="TaxCatchAll" ma:showField="CatchAllData" ma:web="33555f3a-3909-46c9-9748-1dc83b5cf19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F9BC68-F7C1-4FD0-86F6-5A0BE9415D25}">
  <ds:schemaRefs>
    <ds:schemaRef ds:uri="http://schemas.microsoft.com/office/2006/metadata/properties"/>
    <ds:schemaRef ds:uri="http://schemas.microsoft.com/office/infopath/2007/PartnerControls"/>
    <ds:schemaRef ds:uri="9069f00b-307c-4729-be4a-f70dbd2eb3be"/>
    <ds:schemaRef ds:uri="33555f3a-3909-46c9-9748-1dc83b5cf197"/>
  </ds:schemaRefs>
</ds:datastoreItem>
</file>

<file path=customXml/itemProps2.xml><?xml version="1.0" encoding="utf-8"?>
<ds:datastoreItem xmlns:ds="http://schemas.openxmlformats.org/officeDocument/2006/customXml" ds:itemID="{E0C888F1-893F-421F-AA1D-D7631F5997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69f00b-307c-4729-be4a-f70dbd2eb3be"/>
    <ds:schemaRef ds:uri="33555f3a-3909-46c9-9748-1dc83b5cf19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B9C4620-1E0E-4828-922C-83D65E0608B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FC - BT Proyecto</vt:lpstr>
      <vt:lpstr>Hoja1</vt:lpstr>
      <vt:lpstr>FC - BT Inversionista</vt:lpstr>
      <vt:lpstr>Aportes</vt:lpstr>
      <vt:lpstr>Hoja2</vt:lpstr>
      <vt:lpstr>Mensual (Deuda)</vt:lpstr>
      <vt:lpstr>Amortizaciones</vt:lpstr>
      <vt:lpstr>IPP Histórico</vt:lpstr>
      <vt:lpstr>Inflación Bcol</vt:lpstr>
      <vt:lpstr>Otros</vt:lpstr>
      <vt:lpstr>Presupuesto</vt:lpstr>
      <vt:lpstr>'IPP Histórico'!Print_Titles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Fernando Medina</dc:creator>
  <cp:keywords/>
  <dc:description/>
  <cp:lastModifiedBy>Moscoso Deossa, Alejandro</cp:lastModifiedBy>
  <cp:revision/>
  <dcterms:created xsi:type="dcterms:W3CDTF">2022-04-07T14:04:26Z</dcterms:created>
  <dcterms:modified xsi:type="dcterms:W3CDTF">2025-05-07T13:58:04Z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0x010100F7C379A6C4B19B4E801A4E8CA9788424</vt:lpwstr>
  </property>
  <property fmtid="{D5CDD505-2E9C-101B-9397-08002B2CF9AE}" pid="3" name="Order">
    <vt:r8>266900</vt:r8>
  </property>
  <property fmtid="{D5CDD505-2E9C-101B-9397-08002B2CF9AE}" pid="4" name="_ExtendedDescription">
    <vt:lpwstr/>
  </property>
  <property fmtid="{D5CDD505-2E9C-101B-9397-08002B2CF9AE}" pid="5" name="TriggerFlowInfo">
    <vt:lpwstr/>
  </property>
  <property fmtid="{D5CDD505-2E9C-101B-9397-08002B2CF9AE}" pid="6" name="ComplianceAssetId">
    <vt:lpwstr/>
  </property>
  <property fmtid="{D5CDD505-2E9C-101B-9397-08002B2CF9AE}" pid="7" name="MediaServiceImageTags">
    <vt:lpwstr/>
  </property>
</Properties>
</file>